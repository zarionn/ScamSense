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showInkAnnotation="0" saveExternalLinkValues="0" codeName="ThisWorkbook"/>
  <xr:revisionPtr revIDLastSave="0" documentId="13_ncr:1_{C7CE2CCF-00AE-4826-BC25-37872D5010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reening Request" sheetId="1" r:id="rId1"/>
    <sheet name="Instructions" sheetId="6" r:id="rId2"/>
  </sheets>
  <definedNames>
    <definedName name="aallowed">#REF!</definedName>
    <definedName name="Allowed">#REF!</definedName>
    <definedName name="allowedChar">'Screening Request'!#REF!</definedName>
    <definedName name="citizenship">'Screening Request'!$A$594:$A$822</definedName>
    <definedName name="gender">'Screening Request'!$A$1158:$A$1159</definedName>
    <definedName name="place_of_birth">'Screening Request'!$A$344:$A$591</definedName>
    <definedName name="SPR_FIN">'Screening Request'!$A$1154:$A$1155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3" i="1" l="1"/>
  <c r="H854" i="1"/>
  <c r="I854" i="1" s="1"/>
  <c r="J854" i="1" s="1"/>
  <c r="K854" i="1" s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C853" i="1"/>
  <c r="C854" i="1"/>
  <c r="C855" i="1"/>
  <c r="C856" i="1"/>
  <c r="C857" i="1"/>
  <c r="C858" i="1"/>
  <c r="C859" i="1"/>
  <c r="C860" i="1"/>
  <c r="C861" i="1"/>
  <c r="I861" i="1" s="1"/>
  <c r="J861" i="1" s="1"/>
  <c r="K861" i="1" s="1"/>
  <c r="C862" i="1"/>
  <c r="I862" i="1" s="1"/>
  <c r="J862" i="1" s="1"/>
  <c r="K862" i="1" s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B853" i="1"/>
  <c r="B854" i="1"/>
  <c r="B855" i="1"/>
  <c r="B856" i="1"/>
  <c r="I856" i="1"/>
  <c r="J856" i="1" s="1"/>
  <c r="K856" i="1" s="1"/>
  <c r="B857" i="1"/>
  <c r="I857" i="1"/>
  <c r="J857" i="1" s="1"/>
  <c r="K857" i="1" s="1"/>
  <c r="B858" i="1"/>
  <c r="I858" i="1"/>
  <c r="J858" i="1"/>
  <c r="K858" i="1"/>
  <c r="B859" i="1"/>
  <c r="I859" i="1"/>
  <c r="J859" i="1"/>
  <c r="K859" i="1"/>
  <c r="B860" i="1"/>
  <c r="I860" i="1"/>
  <c r="J860" i="1" s="1"/>
  <c r="K860" i="1" s="1"/>
  <c r="B861" i="1"/>
  <c r="B862" i="1"/>
  <c r="B863" i="1"/>
  <c r="I863" i="1"/>
  <c r="J863" i="1" s="1"/>
  <c r="K863" i="1" s="1"/>
  <c r="B864" i="1"/>
  <c r="I864" i="1"/>
  <c r="J864" i="1" s="1"/>
  <c r="K864" i="1" s="1"/>
  <c r="B865" i="1"/>
  <c r="I865" i="1"/>
  <c r="J865" i="1" s="1"/>
  <c r="K865" i="1" s="1"/>
  <c r="B866" i="1"/>
  <c r="I866" i="1"/>
  <c r="J866" i="1" s="1"/>
  <c r="K866" i="1" s="1"/>
  <c r="B867" i="1"/>
  <c r="I867" i="1"/>
  <c r="J867" i="1"/>
  <c r="K867" i="1"/>
  <c r="B868" i="1"/>
  <c r="I868" i="1"/>
  <c r="J868" i="1"/>
  <c r="K868" i="1"/>
  <c r="B869" i="1"/>
  <c r="I869" i="1"/>
  <c r="J869" i="1"/>
  <c r="K869" i="1"/>
  <c r="B870" i="1"/>
  <c r="I870" i="1"/>
  <c r="J870" i="1"/>
  <c r="K870" i="1"/>
  <c r="B871" i="1"/>
  <c r="I871" i="1"/>
  <c r="J871" i="1"/>
  <c r="K871" i="1"/>
  <c r="B872" i="1"/>
  <c r="I872" i="1"/>
  <c r="J872" i="1"/>
  <c r="K872" i="1"/>
  <c r="B873" i="1"/>
  <c r="I873" i="1"/>
  <c r="J873" i="1"/>
  <c r="K873" i="1"/>
  <c r="B874" i="1"/>
  <c r="I874" i="1"/>
  <c r="J874" i="1"/>
  <c r="K874" i="1"/>
  <c r="B875" i="1"/>
  <c r="I875" i="1"/>
  <c r="J875" i="1"/>
  <c r="K875" i="1"/>
  <c r="B876" i="1"/>
  <c r="I876" i="1"/>
  <c r="J876" i="1"/>
  <c r="K876" i="1"/>
  <c r="B877" i="1"/>
  <c r="I877" i="1"/>
  <c r="J877" i="1"/>
  <c r="K877" i="1"/>
  <c r="B878" i="1"/>
  <c r="I878" i="1"/>
  <c r="J878" i="1"/>
  <c r="K878" i="1"/>
  <c r="B879" i="1"/>
  <c r="I879" i="1"/>
  <c r="J879" i="1"/>
  <c r="K879" i="1"/>
  <c r="B880" i="1"/>
  <c r="I880" i="1"/>
  <c r="J880" i="1"/>
  <c r="K880" i="1"/>
  <c r="B881" i="1"/>
  <c r="I881" i="1"/>
  <c r="J881" i="1"/>
  <c r="K881" i="1"/>
  <c r="B882" i="1"/>
  <c r="I882" i="1"/>
  <c r="J882" i="1"/>
  <c r="K882" i="1"/>
  <c r="B883" i="1"/>
  <c r="I883" i="1"/>
  <c r="J883" i="1"/>
  <c r="K883" i="1"/>
  <c r="B884" i="1"/>
  <c r="I884" i="1"/>
  <c r="J884" i="1"/>
  <c r="K884" i="1"/>
  <c r="B885" i="1"/>
  <c r="I885" i="1"/>
  <c r="J885" i="1"/>
  <c r="K885" i="1"/>
  <c r="B886" i="1"/>
  <c r="I886" i="1"/>
  <c r="J886" i="1"/>
  <c r="K886" i="1"/>
  <c r="B887" i="1"/>
  <c r="I887" i="1"/>
  <c r="J887" i="1"/>
  <c r="K887" i="1"/>
  <c r="B888" i="1"/>
  <c r="I888" i="1"/>
  <c r="J888" i="1"/>
  <c r="K888" i="1"/>
  <c r="B889" i="1"/>
  <c r="I889" i="1"/>
  <c r="J889" i="1"/>
  <c r="K889" i="1"/>
  <c r="B890" i="1"/>
  <c r="I890" i="1"/>
  <c r="J890" i="1"/>
  <c r="K890" i="1"/>
  <c r="B891" i="1"/>
  <c r="I891" i="1"/>
  <c r="J891" i="1"/>
  <c r="K891" i="1"/>
  <c r="B892" i="1"/>
  <c r="I892" i="1"/>
  <c r="J892" i="1"/>
  <c r="K892" i="1"/>
  <c r="B893" i="1"/>
  <c r="I893" i="1"/>
  <c r="J893" i="1"/>
  <c r="K893" i="1"/>
  <c r="B894" i="1"/>
  <c r="I894" i="1"/>
  <c r="J894" i="1"/>
  <c r="K894" i="1"/>
  <c r="B895" i="1"/>
  <c r="I895" i="1"/>
  <c r="J895" i="1"/>
  <c r="K895" i="1"/>
  <c r="B896" i="1"/>
  <c r="I896" i="1"/>
  <c r="J896" i="1"/>
  <c r="K896" i="1"/>
  <c r="B897" i="1"/>
  <c r="I897" i="1"/>
  <c r="J897" i="1"/>
  <c r="K897" i="1"/>
  <c r="B898" i="1"/>
  <c r="I898" i="1"/>
  <c r="J898" i="1"/>
  <c r="K898" i="1"/>
  <c r="B899" i="1"/>
  <c r="I899" i="1"/>
  <c r="J899" i="1"/>
  <c r="K899" i="1"/>
  <c r="B900" i="1"/>
  <c r="I900" i="1"/>
  <c r="J900" i="1"/>
  <c r="K900" i="1"/>
  <c r="B901" i="1"/>
  <c r="I901" i="1"/>
  <c r="J901" i="1"/>
  <c r="K901" i="1"/>
  <c r="B902" i="1"/>
  <c r="I902" i="1"/>
  <c r="J902" i="1"/>
  <c r="K902" i="1"/>
  <c r="B903" i="1"/>
  <c r="I903" i="1"/>
  <c r="J903" i="1"/>
  <c r="K903" i="1"/>
  <c r="B904" i="1"/>
  <c r="I904" i="1"/>
  <c r="J904" i="1"/>
  <c r="K904" i="1"/>
  <c r="B905" i="1"/>
  <c r="I905" i="1"/>
  <c r="J905" i="1"/>
  <c r="K905" i="1"/>
  <c r="B906" i="1"/>
  <c r="I906" i="1"/>
  <c r="J906" i="1"/>
  <c r="K906" i="1"/>
  <c r="B907" i="1"/>
  <c r="I907" i="1"/>
  <c r="J907" i="1"/>
  <c r="K907" i="1"/>
  <c r="B908" i="1"/>
  <c r="I908" i="1"/>
  <c r="J908" i="1"/>
  <c r="K908" i="1"/>
  <c r="B909" i="1"/>
  <c r="I909" i="1"/>
  <c r="J909" i="1"/>
  <c r="K909" i="1"/>
  <c r="B910" i="1"/>
  <c r="I910" i="1"/>
  <c r="J910" i="1"/>
  <c r="K910" i="1"/>
  <c r="B911" i="1"/>
  <c r="I911" i="1"/>
  <c r="J911" i="1"/>
  <c r="K911" i="1"/>
  <c r="B912" i="1"/>
  <c r="I912" i="1"/>
  <c r="J912" i="1"/>
  <c r="K912" i="1"/>
  <c r="B913" i="1"/>
  <c r="I913" i="1"/>
  <c r="J913" i="1"/>
  <c r="K913" i="1"/>
  <c r="B914" i="1"/>
  <c r="I914" i="1"/>
  <c r="J914" i="1"/>
  <c r="K914" i="1"/>
  <c r="B915" i="1"/>
  <c r="I915" i="1"/>
  <c r="J915" i="1"/>
  <c r="K915" i="1"/>
  <c r="B916" i="1"/>
  <c r="I916" i="1"/>
  <c r="J916" i="1"/>
  <c r="K916" i="1"/>
  <c r="B917" i="1"/>
  <c r="I917" i="1"/>
  <c r="J917" i="1"/>
  <c r="K917" i="1"/>
  <c r="B918" i="1"/>
  <c r="I918" i="1"/>
  <c r="J918" i="1"/>
  <c r="K918" i="1"/>
  <c r="B919" i="1"/>
  <c r="I919" i="1"/>
  <c r="J919" i="1"/>
  <c r="K919" i="1"/>
  <c r="B920" i="1"/>
  <c r="I920" i="1"/>
  <c r="J920" i="1"/>
  <c r="K920" i="1"/>
  <c r="B921" i="1"/>
  <c r="I921" i="1"/>
  <c r="J921" i="1"/>
  <c r="K921" i="1"/>
  <c r="B922" i="1"/>
  <c r="I922" i="1"/>
  <c r="J922" i="1"/>
  <c r="K922" i="1"/>
  <c r="B923" i="1"/>
  <c r="I923" i="1"/>
  <c r="J923" i="1"/>
  <c r="K923" i="1"/>
  <c r="B924" i="1"/>
  <c r="I924" i="1"/>
  <c r="J924" i="1"/>
  <c r="K924" i="1"/>
  <c r="B925" i="1"/>
  <c r="I925" i="1"/>
  <c r="J925" i="1"/>
  <c r="K925" i="1"/>
  <c r="B926" i="1"/>
  <c r="I926" i="1"/>
  <c r="J926" i="1"/>
  <c r="K926" i="1"/>
  <c r="B927" i="1"/>
  <c r="I927" i="1"/>
  <c r="J927" i="1"/>
  <c r="K927" i="1"/>
  <c r="B928" i="1"/>
  <c r="I928" i="1"/>
  <c r="J928" i="1"/>
  <c r="K928" i="1"/>
  <c r="B929" i="1"/>
  <c r="I929" i="1"/>
  <c r="J929" i="1"/>
  <c r="K929" i="1"/>
  <c r="B930" i="1"/>
  <c r="I930" i="1"/>
  <c r="J930" i="1"/>
  <c r="K930" i="1"/>
  <c r="B931" i="1"/>
  <c r="I931" i="1"/>
  <c r="J931" i="1"/>
  <c r="K931" i="1"/>
  <c r="B932" i="1"/>
  <c r="I932" i="1"/>
  <c r="J932" i="1"/>
  <c r="K932" i="1"/>
  <c r="B933" i="1"/>
  <c r="I933" i="1"/>
  <c r="J933" i="1"/>
  <c r="K933" i="1"/>
  <c r="B934" i="1"/>
  <c r="I934" i="1"/>
  <c r="J934" i="1"/>
  <c r="K934" i="1"/>
  <c r="B935" i="1"/>
  <c r="I935" i="1"/>
  <c r="J935" i="1"/>
  <c r="K935" i="1"/>
  <c r="B936" i="1"/>
  <c r="I936" i="1"/>
  <c r="J936" i="1"/>
  <c r="K936" i="1"/>
  <c r="B937" i="1"/>
  <c r="I937" i="1"/>
  <c r="J937" i="1"/>
  <c r="K937" i="1"/>
  <c r="B938" i="1"/>
  <c r="I938" i="1"/>
  <c r="J938" i="1"/>
  <c r="K938" i="1"/>
  <c r="B939" i="1"/>
  <c r="I939" i="1"/>
  <c r="J939" i="1"/>
  <c r="K939" i="1"/>
  <c r="B940" i="1"/>
  <c r="I940" i="1"/>
  <c r="J940" i="1"/>
  <c r="K940" i="1"/>
  <c r="B941" i="1"/>
  <c r="I941" i="1"/>
  <c r="J941" i="1"/>
  <c r="K941" i="1"/>
  <c r="B942" i="1"/>
  <c r="I942" i="1"/>
  <c r="J942" i="1"/>
  <c r="K942" i="1"/>
  <c r="B943" i="1"/>
  <c r="I943" i="1"/>
  <c r="J943" i="1"/>
  <c r="K943" i="1"/>
  <c r="B944" i="1"/>
  <c r="I944" i="1"/>
  <c r="J944" i="1"/>
  <c r="K944" i="1"/>
  <c r="B945" i="1"/>
  <c r="I945" i="1"/>
  <c r="J945" i="1"/>
  <c r="K945" i="1"/>
  <c r="B946" i="1"/>
  <c r="I946" i="1"/>
  <c r="J946" i="1"/>
  <c r="K946" i="1"/>
  <c r="B947" i="1"/>
  <c r="I947" i="1"/>
  <c r="J947" i="1"/>
  <c r="K947" i="1"/>
  <c r="B948" i="1"/>
  <c r="I948" i="1"/>
  <c r="J948" i="1"/>
  <c r="K948" i="1"/>
  <c r="B949" i="1"/>
  <c r="I949" i="1"/>
  <c r="J949" i="1"/>
  <c r="K949" i="1"/>
  <c r="B950" i="1"/>
  <c r="I950" i="1"/>
  <c r="J950" i="1"/>
  <c r="K950" i="1"/>
  <c r="B951" i="1"/>
  <c r="I951" i="1"/>
  <c r="J951" i="1"/>
  <c r="K951" i="1"/>
  <c r="B952" i="1"/>
  <c r="I952" i="1"/>
  <c r="J952" i="1"/>
  <c r="K952" i="1"/>
  <c r="B953" i="1"/>
  <c r="I953" i="1"/>
  <c r="J953" i="1"/>
  <c r="K953" i="1"/>
  <c r="B954" i="1"/>
  <c r="I954" i="1"/>
  <c r="J954" i="1"/>
  <c r="K954" i="1"/>
  <c r="B955" i="1"/>
  <c r="I955" i="1"/>
  <c r="J955" i="1"/>
  <c r="K955" i="1"/>
  <c r="B956" i="1"/>
  <c r="I956" i="1"/>
  <c r="J956" i="1"/>
  <c r="K956" i="1"/>
  <c r="B957" i="1"/>
  <c r="I957" i="1"/>
  <c r="J957" i="1"/>
  <c r="K957" i="1"/>
  <c r="B958" i="1"/>
  <c r="I958" i="1"/>
  <c r="J958" i="1"/>
  <c r="K958" i="1"/>
  <c r="B959" i="1"/>
  <c r="I959" i="1"/>
  <c r="J959" i="1"/>
  <c r="K959" i="1"/>
  <c r="B960" i="1"/>
  <c r="I960" i="1"/>
  <c r="J960" i="1"/>
  <c r="K960" i="1"/>
  <c r="B961" i="1"/>
  <c r="I961" i="1"/>
  <c r="J961" i="1"/>
  <c r="K961" i="1"/>
  <c r="B962" i="1"/>
  <c r="I962" i="1"/>
  <c r="J962" i="1"/>
  <c r="K962" i="1"/>
  <c r="B963" i="1"/>
  <c r="I963" i="1"/>
  <c r="J963" i="1"/>
  <c r="K963" i="1"/>
  <c r="B964" i="1"/>
  <c r="I964" i="1"/>
  <c r="J964" i="1"/>
  <c r="K964" i="1"/>
  <c r="B965" i="1"/>
  <c r="I965" i="1"/>
  <c r="J965" i="1"/>
  <c r="K965" i="1"/>
  <c r="B966" i="1"/>
  <c r="I966" i="1"/>
  <c r="J966" i="1"/>
  <c r="K966" i="1"/>
  <c r="B967" i="1"/>
  <c r="I967" i="1"/>
  <c r="J967" i="1"/>
  <c r="K967" i="1"/>
  <c r="B968" i="1"/>
  <c r="I968" i="1"/>
  <c r="J968" i="1"/>
  <c r="K968" i="1"/>
  <c r="B969" i="1"/>
  <c r="I969" i="1"/>
  <c r="J969" i="1"/>
  <c r="K969" i="1"/>
  <c r="B970" i="1"/>
  <c r="I970" i="1"/>
  <c r="J970" i="1"/>
  <c r="K970" i="1"/>
  <c r="B971" i="1"/>
  <c r="I971" i="1"/>
  <c r="J971" i="1"/>
  <c r="K971" i="1"/>
  <c r="B972" i="1"/>
  <c r="I972" i="1"/>
  <c r="J972" i="1"/>
  <c r="K972" i="1"/>
  <c r="B973" i="1"/>
  <c r="I973" i="1"/>
  <c r="J973" i="1"/>
  <c r="K973" i="1"/>
  <c r="B974" i="1"/>
  <c r="I974" i="1"/>
  <c r="J974" i="1"/>
  <c r="K974" i="1"/>
  <c r="B975" i="1"/>
  <c r="I975" i="1"/>
  <c r="J975" i="1"/>
  <c r="K975" i="1"/>
  <c r="B976" i="1"/>
  <c r="I976" i="1"/>
  <c r="J976" i="1"/>
  <c r="K976" i="1"/>
  <c r="B977" i="1"/>
  <c r="I977" i="1"/>
  <c r="J977" i="1"/>
  <c r="K977" i="1"/>
  <c r="B978" i="1"/>
  <c r="I978" i="1"/>
  <c r="J978" i="1"/>
  <c r="K978" i="1"/>
  <c r="B979" i="1"/>
  <c r="I979" i="1"/>
  <c r="J979" i="1"/>
  <c r="K979" i="1"/>
  <c r="B980" i="1"/>
  <c r="I980" i="1"/>
  <c r="J980" i="1"/>
  <c r="K980" i="1"/>
  <c r="B981" i="1"/>
  <c r="I981" i="1"/>
  <c r="J981" i="1"/>
  <c r="K981" i="1"/>
  <c r="B982" i="1"/>
  <c r="I982" i="1"/>
  <c r="J982" i="1"/>
  <c r="K982" i="1"/>
  <c r="B983" i="1"/>
  <c r="I983" i="1"/>
  <c r="J983" i="1"/>
  <c r="K983" i="1"/>
  <c r="B984" i="1"/>
  <c r="I984" i="1"/>
  <c r="J984" i="1"/>
  <c r="K984" i="1"/>
  <c r="B985" i="1"/>
  <c r="I985" i="1"/>
  <c r="J985" i="1"/>
  <c r="K985" i="1"/>
  <c r="B986" i="1"/>
  <c r="I986" i="1"/>
  <c r="J986" i="1"/>
  <c r="K986" i="1"/>
  <c r="B987" i="1"/>
  <c r="I987" i="1"/>
  <c r="J987" i="1"/>
  <c r="K987" i="1"/>
  <c r="B988" i="1"/>
  <c r="I988" i="1"/>
  <c r="J988" i="1"/>
  <c r="K988" i="1"/>
  <c r="B989" i="1"/>
  <c r="I989" i="1"/>
  <c r="J989" i="1"/>
  <c r="K989" i="1"/>
  <c r="B990" i="1"/>
  <c r="I990" i="1"/>
  <c r="J990" i="1"/>
  <c r="K990" i="1"/>
  <c r="B991" i="1"/>
  <c r="I991" i="1"/>
  <c r="J991" i="1"/>
  <c r="K991" i="1"/>
  <c r="B992" i="1"/>
  <c r="I992" i="1"/>
  <c r="J992" i="1"/>
  <c r="K992" i="1"/>
  <c r="B993" i="1"/>
  <c r="I993" i="1"/>
  <c r="J993" i="1"/>
  <c r="K993" i="1"/>
  <c r="B994" i="1"/>
  <c r="I994" i="1"/>
  <c r="J994" i="1"/>
  <c r="K994" i="1"/>
  <c r="B995" i="1"/>
  <c r="I995" i="1"/>
  <c r="J995" i="1"/>
  <c r="K995" i="1"/>
  <c r="B996" i="1"/>
  <c r="I996" i="1"/>
  <c r="J996" i="1"/>
  <c r="K996" i="1"/>
  <c r="B997" i="1"/>
  <c r="I997" i="1"/>
  <c r="J997" i="1"/>
  <c r="K997" i="1"/>
  <c r="B998" i="1"/>
  <c r="I998" i="1"/>
  <c r="J998" i="1"/>
  <c r="K998" i="1"/>
  <c r="B999" i="1"/>
  <c r="I999" i="1"/>
  <c r="J999" i="1"/>
  <c r="K999" i="1"/>
  <c r="B1000" i="1"/>
  <c r="I1000" i="1"/>
  <c r="J1000" i="1"/>
  <c r="K1000" i="1"/>
  <c r="B1001" i="1"/>
  <c r="I1001" i="1"/>
  <c r="J1001" i="1"/>
  <c r="K1001" i="1"/>
  <c r="B1002" i="1"/>
  <c r="I1002" i="1"/>
  <c r="J1002" i="1"/>
  <c r="K1002" i="1"/>
  <c r="B1003" i="1"/>
  <c r="I1003" i="1"/>
  <c r="J1003" i="1"/>
  <c r="K1003" i="1"/>
  <c r="B1004" i="1"/>
  <c r="I1004" i="1"/>
  <c r="J1004" i="1"/>
  <c r="K1004" i="1"/>
  <c r="B1005" i="1"/>
  <c r="I1005" i="1"/>
  <c r="J1005" i="1"/>
  <c r="K1005" i="1"/>
  <c r="B1006" i="1"/>
  <c r="I1006" i="1"/>
  <c r="J1006" i="1"/>
  <c r="K1006" i="1"/>
  <c r="B1007" i="1"/>
  <c r="I1007" i="1"/>
  <c r="J1007" i="1"/>
  <c r="K1007" i="1"/>
  <c r="B1008" i="1"/>
  <c r="I1008" i="1"/>
  <c r="J1008" i="1"/>
  <c r="K1008" i="1"/>
  <c r="B1009" i="1"/>
  <c r="I1009" i="1"/>
  <c r="J1009" i="1"/>
  <c r="K1009" i="1"/>
  <c r="B1010" i="1"/>
  <c r="I1010" i="1"/>
  <c r="J1010" i="1"/>
  <c r="K1010" i="1"/>
  <c r="B1011" i="1"/>
  <c r="I1011" i="1"/>
  <c r="J1011" i="1"/>
  <c r="K1011" i="1"/>
  <c r="B1012" i="1"/>
  <c r="I1012" i="1"/>
  <c r="J1012" i="1"/>
  <c r="K1012" i="1"/>
  <c r="B1013" i="1"/>
  <c r="I1013" i="1"/>
  <c r="J1013" i="1"/>
  <c r="K1013" i="1"/>
  <c r="B1014" i="1"/>
  <c r="I1014" i="1"/>
  <c r="J1014" i="1"/>
  <c r="K1014" i="1"/>
  <c r="B1015" i="1"/>
  <c r="I1015" i="1"/>
  <c r="J1015" i="1"/>
  <c r="K1015" i="1"/>
  <c r="B1016" i="1"/>
  <c r="I1016" i="1"/>
  <c r="J1016" i="1"/>
  <c r="K1016" i="1"/>
  <c r="B1017" i="1"/>
  <c r="I1017" i="1"/>
  <c r="J1017" i="1"/>
  <c r="K1017" i="1"/>
  <c r="B1018" i="1"/>
  <c r="I1018" i="1"/>
  <c r="J1018" i="1"/>
  <c r="K1018" i="1"/>
  <c r="B1019" i="1"/>
  <c r="I1019" i="1"/>
  <c r="J1019" i="1"/>
  <c r="K1019" i="1"/>
  <c r="B1020" i="1"/>
  <c r="I1020" i="1"/>
  <c r="J1020" i="1"/>
  <c r="K1020" i="1"/>
  <c r="B1021" i="1"/>
  <c r="I1021" i="1"/>
  <c r="J1021" i="1"/>
  <c r="K1021" i="1"/>
  <c r="B1022" i="1"/>
  <c r="I1022" i="1"/>
  <c r="J1022" i="1"/>
  <c r="K1022" i="1"/>
  <c r="B1023" i="1"/>
  <c r="I1023" i="1"/>
  <c r="J1023" i="1"/>
  <c r="K1023" i="1"/>
  <c r="B1024" i="1"/>
  <c r="I1024" i="1"/>
  <c r="J1024" i="1"/>
  <c r="K1024" i="1"/>
  <c r="B1025" i="1"/>
  <c r="I1025" i="1"/>
  <c r="J1025" i="1"/>
  <c r="K1025" i="1"/>
  <c r="B1026" i="1"/>
  <c r="I1026" i="1"/>
  <c r="J1026" i="1"/>
  <c r="K1026" i="1"/>
  <c r="B1027" i="1"/>
  <c r="I1027" i="1"/>
  <c r="J1027" i="1"/>
  <c r="K1027" i="1"/>
  <c r="B1028" i="1"/>
  <c r="I1028" i="1"/>
  <c r="J1028" i="1"/>
  <c r="K1028" i="1"/>
  <c r="B1029" i="1"/>
  <c r="I1029" i="1"/>
  <c r="J1029" i="1"/>
  <c r="K1029" i="1"/>
  <c r="B1030" i="1"/>
  <c r="I1030" i="1"/>
  <c r="J1030" i="1"/>
  <c r="K1030" i="1"/>
  <c r="B1031" i="1"/>
  <c r="I1031" i="1"/>
  <c r="J1031" i="1"/>
  <c r="K1031" i="1"/>
  <c r="B1032" i="1"/>
  <c r="I1032" i="1"/>
  <c r="J1032" i="1"/>
  <c r="K1032" i="1"/>
  <c r="B1033" i="1"/>
  <c r="I1033" i="1"/>
  <c r="J1033" i="1"/>
  <c r="K1033" i="1"/>
  <c r="B1034" i="1"/>
  <c r="I1034" i="1"/>
  <c r="J1034" i="1"/>
  <c r="K1034" i="1"/>
  <c r="B1035" i="1"/>
  <c r="I1035" i="1"/>
  <c r="J1035" i="1"/>
  <c r="K1035" i="1"/>
  <c r="B1036" i="1"/>
  <c r="I1036" i="1"/>
  <c r="J1036" i="1"/>
  <c r="K1036" i="1"/>
  <c r="B1037" i="1"/>
  <c r="I1037" i="1"/>
  <c r="J1037" i="1"/>
  <c r="K1037" i="1"/>
  <c r="B1038" i="1"/>
  <c r="I1038" i="1"/>
  <c r="J1038" i="1"/>
  <c r="K1038" i="1"/>
  <c r="B1039" i="1"/>
  <c r="I1039" i="1"/>
  <c r="J1039" i="1"/>
  <c r="K1039" i="1"/>
  <c r="B1040" i="1"/>
  <c r="I1040" i="1"/>
  <c r="J1040" i="1"/>
  <c r="K1040" i="1"/>
  <c r="B1041" i="1"/>
  <c r="I1041" i="1"/>
  <c r="J1041" i="1"/>
  <c r="K1041" i="1"/>
  <c r="B1042" i="1"/>
  <c r="I1042" i="1"/>
  <c r="J1042" i="1"/>
  <c r="K1042" i="1"/>
  <c r="B1043" i="1"/>
  <c r="I1043" i="1"/>
  <c r="J1043" i="1"/>
  <c r="K1043" i="1"/>
  <c r="B1044" i="1"/>
  <c r="I1044" i="1"/>
  <c r="J1044" i="1"/>
  <c r="K1044" i="1"/>
  <c r="B1045" i="1"/>
  <c r="I1045" i="1"/>
  <c r="J1045" i="1"/>
  <c r="K1045" i="1"/>
  <c r="B1046" i="1"/>
  <c r="I1046" i="1"/>
  <c r="J1046" i="1"/>
  <c r="K1046" i="1"/>
  <c r="B1047" i="1"/>
  <c r="I1047" i="1"/>
  <c r="J1047" i="1"/>
  <c r="K1047" i="1"/>
  <c r="B1048" i="1"/>
  <c r="I1048" i="1"/>
  <c r="J1048" i="1"/>
  <c r="K1048" i="1"/>
  <c r="B1049" i="1"/>
  <c r="I1049" i="1"/>
  <c r="J1049" i="1"/>
  <c r="K1049" i="1"/>
  <c r="B1050" i="1"/>
  <c r="I1050" i="1"/>
  <c r="J1050" i="1"/>
  <c r="K1050" i="1"/>
  <c r="B1051" i="1"/>
  <c r="I1051" i="1"/>
  <c r="J1051" i="1"/>
  <c r="K1051" i="1"/>
  <c r="B1052" i="1"/>
  <c r="I1052" i="1"/>
  <c r="J1052" i="1"/>
  <c r="K1052" i="1"/>
  <c r="B1053" i="1"/>
  <c r="I1053" i="1"/>
  <c r="J1053" i="1"/>
  <c r="K1053" i="1"/>
  <c r="B1054" i="1"/>
  <c r="I1054" i="1"/>
  <c r="J1054" i="1"/>
  <c r="K1054" i="1"/>
  <c r="B1055" i="1"/>
  <c r="I1055" i="1"/>
  <c r="J1055" i="1"/>
  <c r="K1055" i="1"/>
  <c r="B1056" i="1"/>
  <c r="I1056" i="1"/>
  <c r="J1056" i="1"/>
  <c r="K1056" i="1"/>
  <c r="B1057" i="1"/>
  <c r="I1057" i="1"/>
  <c r="J1057" i="1"/>
  <c r="K1057" i="1"/>
  <c r="B1058" i="1"/>
  <c r="I1058" i="1"/>
  <c r="J1058" i="1"/>
  <c r="K1058" i="1"/>
  <c r="B1059" i="1"/>
  <c r="I1059" i="1"/>
  <c r="J1059" i="1"/>
  <c r="K1059" i="1"/>
  <c r="B1060" i="1"/>
  <c r="I1060" i="1"/>
  <c r="J1060" i="1"/>
  <c r="K1060" i="1"/>
  <c r="B1061" i="1"/>
  <c r="I1061" i="1"/>
  <c r="J1061" i="1"/>
  <c r="K1061" i="1"/>
  <c r="B1062" i="1"/>
  <c r="I1062" i="1"/>
  <c r="J1062" i="1"/>
  <c r="K1062" i="1"/>
  <c r="B1063" i="1"/>
  <c r="I1063" i="1"/>
  <c r="J1063" i="1"/>
  <c r="K1063" i="1"/>
  <c r="B1064" i="1"/>
  <c r="I1064" i="1"/>
  <c r="J1064" i="1"/>
  <c r="K1064" i="1"/>
  <c r="B1065" i="1"/>
  <c r="I1065" i="1"/>
  <c r="J1065" i="1"/>
  <c r="K1065" i="1"/>
  <c r="B1066" i="1"/>
  <c r="I1066" i="1"/>
  <c r="J1066" i="1"/>
  <c r="K1066" i="1"/>
  <c r="B1067" i="1"/>
  <c r="I1067" i="1"/>
  <c r="J1067" i="1"/>
  <c r="K1067" i="1"/>
  <c r="B1068" i="1"/>
  <c r="I1068" i="1"/>
  <c r="J1068" i="1"/>
  <c r="K1068" i="1"/>
  <c r="B1069" i="1"/>
  <c r="I1069" i="1"/>
  <c r="J1069" i="1"/>
  <c r="K1069" i="1"/>
  <c r="B1070" i="1"/>
  <c r="I1070" i="1"/>
  <c r="J1070" i="1"/>
  <c r="K1070" i="1"/>
  <c r="B1071" i="1"/>
  <c r="I1071" i="1"/>
  <c r="J1071" i="1"/>
  <c r="K1071" i="1"/>
  <c r="B1072" i="1"/>
  <c r="I1072" i="1"/>
  <c r="J1072" i="1"/>
  <c r="K1072" i="1"/>
  <c r="B1073" i="1"/>
  <c r="I1073" i="1"/>
  <c r="J1073" i="1"/>
  <c r="K1073" i="1"/>
  <c r="B1074" i="1"/>
  <c r="I1074" i="1"/>
  <c r="J1074" i="1"/>
  <c r="K1074" i="1"/>
  <c r="B1075" i="1"/>
  <c r="I1075" i="1"/>
  <c r="J1075" i="1"/>
  <c r="K1075" i="1"/>
  <c r="B1076" i="1"/>
  <c r="I1076" i="1"/>
  <c r="J1076" i="1"/>
  <c r="K1076" i="1"/>
  <c r="B1077" i="1"/>
  <c r="I1077" i="1"/>
  <c r="J1077" i="1"/>
  <c r="K1077" i="1"/>
  <c r="B1078" i="1"/>
  <c r="I1078" i="1"/>
  <c r="J1078" i="1"/>
  <c r="K1078" i="1"/>
  <c r="B1079" i="1"/>
  <c r="I1079" i="1"/>
  <c r="J1079" i="1"/>
  <c r="K1079" i="1"/>
  <c r="B1080" i="1"/>
  <c r="I1080" i="1"/>
  <c r="J1080" i="1"/>
  <c r="K1080" i="1"/>
  <c r="B1081" i="1"/>
  <c r="I1081" i="1"/>
  <c r="J1081" i="1"/>
  <c r="K1081" i="1"/>
  <c r="B1082" i="1"/>
  <c r="I1082" i="1"/>
  <c r="J1082" i="1"/>
  <c r="K1082" i="1"/>
  <c r="B1083" i="1"/>
  <c r="I1083" i="1"/>
  <c r="J1083" i="1"/>
  <c r="K1083" i="1"/>
  <c r="B1084" i="1"/>
  <c r="I1084" i="1"/>
  <c r="J1084" i="1"/>
  <c r="K1084" i="1"/>
  <c r="B1085" i="1"/>
  <c r="I1085" i="1"/>
  <c r="J1085" i="1"/>
  <c r="K1085" i="1"/>
  <c r="B1086" i="1"/>
  <c r="I1086" i="1"/>
  <c r="J1086" i="1"/>
  <c r="K1086" i="1"/>
  <c r="B1087" i="1"/>
  <c r="I1087" i="1"/>
  <c r="J1087" i="1"/>
  <c r="K1087" i="1"/>
  <c r="B1088" i="1"/>
  <c r="I1088" i="1"/>
  <c r="J1088" i="1"/>
  <c r="K1088" i="1"/>
  <c r="B1089" i="1"/>
  <c r="I1089" i="1"/>
  <c r="J1089" i="1"/>
  <c r="K1089" i="1"/>
  <c r="B1090" i="1"/>
  <c r="I1090" i="1"/>
  <c r="J1090" i="1"/>
  <c r="K1090" i="1"/>
  <c r="B1091" i="1"/>
  <c r="I1091" i="1"/>
  <c r="J1091" i="1"/>
  <c r="K1091" i="1"/>
  <c r="B1092" i="1"/>
  <c r="I1092" i="1"/>
  <c r="J1092" i="1"/>
  <c r="K1092" i="1"/>
  <c r="B1093" i="1"/>
  <c r="I1093" i="1"/>
  <c r="J1093" i="1"/>
  <c r="K1093" i="1"/>
  <c r="B1094" i="1"/>
  <c r="I1094" i="1"/>
  <c r="J1094" i="1"/>
  <c r="K1094" i="1"/>
  <c r="B1095" i="1"/>
  <c r="I1095" i="1"/>
  <c r="J1095" i="1"/>
  <c r="K1095" i="1"/>
  <c r="B1096" i="1"/>
  <c r="I1096" i="1"/>
  <c r="J1096" i="1"/>
  <c r="K1096" i="1"/>
  <c r="B1097" i="1"/>
  <c r="I1097" i="1"/>
  <c r="J1097" i="1"/>
  <c r="K1097" i="1"/>
  <c r="B1098" i="1"/>
  <c r="I1098" i="1"/>
  <c r="J1098" i="1"/>
  <c r="K1098" i="1"/>
  <c r="B1099" i="1"/>
  <c r="I1099" i="1"/>
  <c r="J1099" i="1"/>
  <c r="K1099" i="1"/>
  <c r="B1100" i="1"/>
  <c r="I1100" i="1"/>
  <c r="J1100" i="1"/>
  <c r="K1100" i="1"/>
  <c r="B1101" i="1"/>
  <c r="I1101" i="1"/>
  <c r="J1101" i="1"/>
  <c r="K1101" i="1"/>
  <c r="B1102" i="1"/>
  <c r="I1102" i="1"/>
  <c r="J1102" i="1"/>
  <c r="K1102" i="1"/>
  <c r="B1103" i="1"/>
  <c r="I1103" i="1"/>
  <c r="J1103" i="1"/>
  <c r="K1103" i="1"/>
  <c r="B1104" i="1"/>
  <c r="I1104" i="1"/>
  <c r="J1104" i="1"/>
  <c r="K1104" i="1"/>
  <c r="B1105" i="1"/>
  <c r="I1105" i="1"/>
  <c r="J1105" i="1"/>
  <c r="K1105" i="1"/>
  <c r="B1106" i="1"/>
  <c r="I1106" i="1"/>
  <c r="J1106" i="1"/>
  <c r="K1106" i="1"/>
  <c r="B1107" i="1"/>
  <c r="I1107" i="1"/>
  <c r="J1107" i="1"/>
  <c r="K1107" i="1"/>
  <c r="B1108" i="1"/>
  <c r="I1108" i="1"/>
  <c r="J1108" i="1"/>
  <c r="K1108" i="1"/>
  <c r="B1109" i="1"/>
  <c r="I1109" i="1"/>
  <c r="J1109" i="1"/>
  <c r="K1109" i="1"/>
  <c r="B1110" i="1"/>
  <c r="I1110" i="1"/>
  <c r="J1110" i="1"/>
  <c r="K1110" i="1"/>
  <c r="B1111" i="1"/>
  <c r="I1111" i="1"/>
  <c r="J1111" i="1"/>
  <c r="K1111" i="1"/>
  <c r="B1112" i="1"/>
  <c r="I1112" i="1"/>
  <c r="J1112" i="1"/>
  <c r="K1112" i="1"/>
  <c r="B1113" i="1"/>
  <c r="I1113" i="1"/>
  <c r="J1113" i="1"/>
  <c r="K1113" i="1"/>
  <c r="B1114" i="1"/>
  <c r="I1114" i="1"/>
  <c r="J1114" i="1"/>
  <c r="K1114" i="1"/>
  <c r="B1115" i="1"/>
  <c r="I1115" i="1"/>
  <c r="J1115" i="1"/>
  <c r="K1115" i="1"/>
  <c r="B1116" i="1"/>
  <c r="I1116" i="1"/>
  <c r="J1116" i="1"/>
  <c r="K1116" i="1"/>
  <c r="B1117" i="1"/>
  <c r="I1117" i="1"/>
  <c r="J1117" i="1"/>
  <c r="K1117" i="1"/>
  <c r="B1118" i="1"/>
  <c r="I1118" i="1"/>
  <c r="J1118" i="1"/>
  <c r="K1118" i="1"/>
  <c r="B1119" i="1"/>
  <c r="I1119" i="1"/>
  <c r="J1119" i="1"/>
  <c r="K1119" i="1"/>
  <c r="B1120" i="1"/>
  <c r="I1120" i="1"/>
  <c r="J1120" i="1"/>
  <c r="K1120" i="1"/>
  <c r="B1121" i="1"/>
  <c r="I1121" i="1"/>
  <c r="J1121" i="1"/>
  <c r="K1121" i="1"/>
  <c r="B1122" i="1"/>
  <c r="I1122" i="1"/>
  <c r="J1122" i="1"/>
  <c r="K1122" i="1"/>
  <c r="B1123" i="1"/>
  <c r="I1123" i="1"/>
  <c r="J1123" i="1"/>
  <c r="K1123" i="1"/>
  <c r="B1124" i="1"/>
  <c r="I1124" i="1"/>
  <c r="J1124" i="1"/>
  <c r="K1124" i="1"/>
  <c r="B1125" i="1"/>
  <c r="I1125" i="1"/>
  <c r="J1125" i="1"/>
  <c r="K1125" i="1"/>
  <c r="B1126" i="1"/>
  <c r="I1126" i="1"/>
  <c r="J1126" i="1"/>
  <c r="K1126" i="1"/>
  <c r="B1127" i="1"/>
  <c r="I1127" i="1"/>
  <c r="J1127" i="1"/>
  <c r="K1127" i="1"/>
  <c r="B1128" i="1"/>
  <c r="I1128" i="1"/>
  <c r="J1128" i="1"/>
  <c r="K1128" i="1"/>
  <c r="B1129" i="1"/>
  <c r="I1129" i="1"/>
  <c r="J1129" i="1"/>
  <c r="K1129" i="1"/>
  <c r="B1130" i="1"/>
  <c r="I1130" i="1"/>
  <c r="J1130" i="1"/>
  <c r="K1130" i="1"/>
  <c r="B1131" i="1"/>
  <c r="I1131" i="1"/>
  <c r="J1131" i="1"/>
  <c r="K1131" i="1"/>
  <c r="B1132" i="1"/>
  <c r="I1132" i="1"/>
  <c r="J1132" i="1"/>
  <c r="K1132" i="1"/>
  <c r="B1133" i="1"/>
  <c r="I1133" i="1"/>
  <c r="J1133" i="1"/>
  <c r="K1133" i="1"/>
  <c r="B1134" i="1"/>
  <c r="I1134" i="1"/>
  <c r="J1134" i="1"/>
  <c r="K1134" i="1"/>
  <c r="B1135" i="1"/>
  <c r="I1135" i="1"/>
  <c r="J1135" i="1"/>
  <c r="K1135" i="1"/>
  <c r="B1136" i="1"/>
  <c r="I1136" i="1"/>
  <c r="J1136" i="1"/>
  <c r="K1136" i="1"/>
  <c r="B1137" i="1"/>
  <c r="I1137" i="1"/>
  <c r="J1137" i="1"/>
  <c r="K1137" i="1"/>
  <c r="B1138" i="1"/>
  <c r="I1138" i="1"/>
  <c r="J1138" i="1"/>
  <c r="K1138" i="1"/>
  <c r="B1139" i="1"/>
  <c r="I1139" i="1"/>
  <c r="J1139" i="1"/>
  <c r="K1139" i="1"/>
  <c r="B1140" i="1"/>
  <c r="I1140" i="1"/>
  <c r="J1140" i="1"/>
  <c r="K1140" i="1"/>
  <c r="B1141" i="1"/>
  <c r="I1141" i="1"/>
  <c r="J1141" i="1"/>
  <c r="K1141" i="1"/>
  <c r="B1142" i="1"/>
  <c r="I1142" i="1"/>
  <c r="J1142" i="1"/>
  <c r="K1142" i="1"/>
  <c r="B1143" i="1"/>
  <c r="I1143" i="1"/>
  <c r="J1143" i="1"/>
  <c r="K1143" i="1"/>
  <c r="B1144" i="1"/>
  <c r="I1144" i="1"/>
  <c r="J1144" i="1"/>
  <c r="K1144" i="1"/>
  <c r="B1145" i="1"/>
  <c r="I1145" i="1"/>
  <c r="J1145" i="1"/>
  <c r="K1145" i="1"/>
  <c r="B1146" i="1"/>
  <c r="I1146" i="1"/>
  <c r="J1146" i="1"/>
  <c r="K1146" i="1"/>
  <c r="B1147" i="1"/>
  <c r="I1147" i="1"/>
  <c r="J1147" i="1"/>
  <c r="K1147" i="1"/>
  <c r="B1148" i="1"/>
  <c r="I1148" i="1"/>
  <c r="J1148" i="1"/>
  <c r="K1148" i="1"/>
  <c r="B1149" i="1"/>
  <c r="I1149" i="1"/>
  <c r="J1149" i="1"/>
  <c r="K1149" i="1"/>
  <c r="B1150" i="1"/>
  <c r="I1150" i="1"/>
  <c r="J1150" i="1"/>
  <c r="K1150" i="1"/>
  <c r="B1151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H852" i="1"/>
  <c r="G852" i="1"/>
  <c r="F852" i="1"/>
  <c r="E852" i="1"/>
  <c r="D852" i="1"/>
  <c r="C852" i="1"/>
  <c r="B852" i="1"/>
  <c r="A852" i="1"/>
  <c r="I1151" i="1"/>
  <c r="J1151" i="1"/>
  <c r="K1151" i="1"/>
  <c r="I855" i="1" l="1"/>
  <c r="J855" i="1" s="1"/>
  <c r="K855" i="1" s="1"/>
  <c r="I853" i="1"/>
  <c r="J853" i="1" s="1"/>
  <c r="K853" i="1" s="1"/>
  <c r="I852" i="1"/>
  <c r="J852" i="1" s="1"/>
  <c r="K852" i="1" s="1"/>
</calcChain>
</file>

<file path=xl/sharedStrings.xml><?xml version="1.0" encoding="utf-8"?>
<sst xmlns="http://schemas.openxmlformats.org/spreadsheetml/2006/main" count="1254" uniqueCount="703">
  <si>
    <t>Type
(Length)</t>
  </si>
  <si>
    <t>Alphanumeric (2)</t>
  </si>
  <si>
    <t>Alphanumeric (3)</t>
  </si>
  <si>
    <t>Numeric (2)</t>
  </si>
  <si>
    <t>Char (8)</t>
  </si>
  <si>
    <t>Alphanumeric (100)</t>
  </si>
  <si>
    <t>Alphanumeric (500)</t>
  </si>
  <si>
    <t>Numeric (8)</t>
  </si>
  <si>
    <t>Char (80)</t>
  </si>
  <si>
    <t>Char (40)</t>
  </si>
  <si>
    <t>Numeric (3)</t>
  </si>
  <si>
    <t>Constraints / 
Format</t>
  </si>
  <si>
    <t>Fixed List</t>
  </si>
  <si>
    <t>-</t>
  </si>
  <si>
    <t>YYYYMMDD</t>
  </si>
  <si>
    <t>Screening Request Type (e.g. 1A)</t>
  </si>
  <si>
    <t>Agency Code</t>
  </si>
  <si>
    <t>Division/Department/Requestor Code</t>
  </si>
  <si>
    <t>Date of Screening Request</t>
  </si>
  <si>
    <t>Name of Access, Events, Awards, Passes or Courses/Description of screening Request</t>
  </si>
  <si>
    <t>Screening Request Justification</t>
  </si>
  <si>
    <t xml:space="preserve">Start Date </t>
  </si>
  <si>
    <t xml:space="preserve">End Date </t>
  </si>
  <si>
    <t>Requesting Officer</t>
  </si>
  <si>
    <t>Officer's Designation</t>
  </si>
  <si>
    <t>Contact Number</t>
  </si>
  <si>
    <t>Email</t>
  </si>
  <si>
    <t>Number of Records</t>
  </si>
  <si>
    <t>Alphanumeric (9)</t>
  </si>
  <si>
    <t>Alphanumeric (30)</t>
  </si>
  <si>
    <t>Char (1)</t>
  </si>
  <si>
    <t>Char (50)</t>
  </si>
  <si>
    <t>Char (100)</t>
  </si>
  <si>
    <t>Alphanumeric (200)</t>
  </si>
  <si>
    <t>Starts with 
S / T / F / G</t>
  </si>
  <si>
    <t xml:space="preserve">Y / N </t>
  </si>
  <si>
    <t xml:space="preserve">M / F </t>
  </si>
  <si>
    <t>S/N</t>
  </si>
  <si>
    <t>NRIC / FIN</t>
  </si>
  <si>
    <t xml:space="preserve">Other ID </t>
  </si>
  <si>
    <t>Singapore Permanent
Resident</t>
  </si>
  <si>
    <t>Citizenship</t>
  </si>
  <si>
    <t>Place of Birth</t>
  </si>
  <si>
    <t>Date of Birth</t>
  </si>
  <si>
    <t>Gender</t>
  </si>
  <si>
    <t>Religion</t>
  </si>
  <si>
    <t>Organisation / Employer Name</t>
  </si>
  <si>
    <t>Department</t>
  </si>
  <si>
    <t>Job Designation/ Appointment/ Position</t>
  </si>
  <si>
    <t>Remarks / Additional Information</t>
  </si>
  <si>
    <t>FIN Holder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</si>
  <si>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</si>
  <si>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</si>
  <si>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</si>
  <si>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</si>
  <si>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</si>
  <si>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</si>
  <si>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</si>
  <si>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</si>
  <si>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</si>
  <si>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</si>
  <si>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</si>
  <si>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</si>
  <si>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</si>
  <si>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</si>
  <si>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</si>
  <si>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</si>
  <si>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</si>
  <si>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</si>
  <si>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</si>
  <si>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</si>
  <si>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</si>
  <si>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</si>
  <si>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</si>
  <si>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</si>
  <si>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</si>
  <si>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BOSNIA-HERZEGOVINA</t>
  </si>
  <si>
    <t>BOTSWANA</t>
  </si>
  <si>
    <t>BRAZIL</t>
  </si>
  <si>
    <t>BRITISH ANTARCTIC TERRITORY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</si>
  <si>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</si>
  <si>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</si>
  <si>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</si>
  <si>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</si>
  <si>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</si>
  <si>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</si>
  <si>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</si>
  <si>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</si>
  <si>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</si>
  <si>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CANTON &amp; ENDERBURY ISLANDS</t>
  </si>
  <si>
    <t>CAPE VERDE</t>
  </si>
  <si>
    <t>CAYMAN ISLANDS</t>
  </si>
  <si>
    <t>CENTRAL AFRICAN REPUBLIC</t>
  </si>
  <si>
    <t>CHAD</t>
  </si>
  <si>
    <t>CHANNEL ISLANDS</t>
  </si>
  <si>
    <t>CHILE</t>
  </si>
  <si>
    <t>CHINA</t>
  </si>
  <si>
    <t>CHRISTMAS ISLAND</t>
  </si>
  <si>
    <t>COCOS KEELING ISLAND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</si>
  <si>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</si>
  <si>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</si>
  <si>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</si>
  <si>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</si>
  <si>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</si>
  <si>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</si>
  <si>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</si>
  <si>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</si>
  <si>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</si>
  <si>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</si>
  <si>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</si>
  <si>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</si>
  <si>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</si>
  <si>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</si>
  <si>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</si>
  <si>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</si>
  <si>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</si>
  <si>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</si>
  <si>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</si>
  <si>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</si>
  <si>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</si>
  <si>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</si>
  <si>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FALKLAND ISLANDS</t>
  </si>
  <si>
    <t>FIJI</t>
  </si>
  <si>
    <t>FINLAND</t>
  </si>
  <si>
    <t>FRANCE</t>
  </si>
  <si>
    <t>FRENCH GUIANA</t>
  </si>
  <si>
    <t>FRENCH POLYNESIA</t>
  </si>
  <si>
    <t>FRENCH SOUTHERN &amp; ANTARCTIC TERRITORIES</t>
  </si>
  <si>
    <t>GABON</t>
  </si>
  <si>
    <t>GAMBIA</t>
  </si>
  <si>
    <t>GAZA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</si>
  <si>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</si>
  <si>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</si>
  <si>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</si>
  <si>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</si>
  <si>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</si>
  <si>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</si>
  <si>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</si>
  <si>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</si>
  <si>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</si>
  <si>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</si>
  <si>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</si>
  <si>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</si>
  <si>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</si>
  <si>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</si>
  <si>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</si>
  <si>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&amp; MCDONALD ISLAND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</si>
  <si>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</si>
  <si>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</si>
  <si>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</si>
  <si>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</si>
  <si>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</si>
  <si>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</si>
  <si>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</si>
  <si>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</si>
  <si>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</si>
  <si>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</si>
  <si>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</si>
  <si>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</si>
  <si>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</si>
  <si>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</si>
  <si>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</si>
  <si>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JOHNSTON ISLAND</t>
  </si>
  <si>
    <t>JORDAN</t>
  </si>
  <si>
    <t>KAZAKHSTAN</t>
  </si>
  <si>
    <t>KENYA</t>
  </si>
  <si>
    <t>KIRGHIZIA</t>
  </si>
  <si>
    <t>KIRIBATI</t>
  </si>
  <si>
    <t>KOREA, NORTH</t>
  </si>
  <si>
    <t>KOREA, SOUTH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</si>
  <si>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</si>
  <si>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</si>
  <si>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</si>
  <si>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</si>
  <si>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</si>
  <si>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</si>
  <si>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</si>
  <si>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</si>
  <si>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</si>
  <si>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</si>
  <si>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</si>
  <si>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 SAR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</si>
  <si>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</si>
  <si>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</si>
  <si>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</si>
  <si>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</si>
  <si>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</si>
  <si>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</si>
  <si>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</si>
  <si>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</si>
  <si>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</si>
  <si>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</si>
  <si>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</si>
  <si>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</si>
  <si>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</si>
  <si>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</si>
  <si>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</si>
  <si>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</si>
  <si>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</si>
  <si>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</si>
  <si>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</si>
  <si>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</si>
  <si>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</si>
  <si>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</si>
  <si>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</si>
  <si>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</si>
  <si>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</si>
  <si>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</si>
  <si>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ANTILILLES</t>
  </si>
  <si>
    <t>NEW CALEDONIA</t>
  </si>
  <si>
    <t>NEW ZEALAND</t>
  </si>
  <si>
    <t>NICARAGUA</t>
  </si>
  <si>
    <t>NIGER</t>
  </si>
  <si>
    <t>NIGERIA</t>
  </si>
  <si>
    <t>NIUE ISLAND</t>
  </si>
  <si>
    <t>NORFOLK ISLAND</t>
  </si>
  <si>
    <t>NORWAY</t>
  </si>
  <si>
    <t>OMAN</t>
  </si>
  <si>
    <t>PACIFIC ISLAND TRUST TERRITORY</t>
  </si>
  <si>
    <t>PAKISTAN</t>
  </si>
  <si>
    <t>PALAU</t>
  </si>
  <si>
    <t>PALESTINE</t>
  </si>
  <si>
    <t>PANAMA</t>
  </si>
  <si>
    <t>PANAMA CANAL ZONE</t>
  </si>
  <si>
    <t>PAPUA NEW GUINEA</t>
  </si>
  <si>
    <t>PARAGUAY</t>
  </si>
  <si>
    <t>PERU</t>
  </si>
  <si>
    <t>PHILIPPINES</t>
  </si>
  <si>
    <t>PITCAIRN ISLAND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</si>
  <si>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</si>
  <si>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</si>
  <si>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</si>
  <si>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</si>
  <si>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</si>
  <si>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</si>
  <si>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</si>
  <si>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</si>
  <si>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</t>
  </si>
  <si>
    <t>SAN MARINO</t>
  </si>
  <si>
    <t>SAO TOME &amp;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</si>
  <si>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</si>
  <si>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</si>
  <si>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</si>
  <si>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</si>
  <si>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</si>
  <si>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</si>
  <si>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</si>
  <si>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</si>
  <si>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</si>
  <si>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</si>
  <si>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</si>
  <si>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</si>
  <si>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</si>
  <si>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ST. HELENA</t>
  </si>
  <si>
    <t>ST. KITTS-NEVIS</t>
  </si>
  <si>
    <t>ST. LUCIA</t>
  </si>
  <si>
    <t>ST. PIERRE &amp; MIQUELON</t>
  </si>
  <si>
    <t>ST. VINCENT</t>
  </si>
  <si>
    <t>SUDAN</t>
  </si>
  <si>
    <t>SURINAME</t>
  </si>
  <si>
    <t>SWAZILAND</t>
  </si>
  <si>
    <t>SWEDEN</t>
  </si>
  <si>
    <t>SWITZERLAND</t>
  </si>
  <si>
    <t>SYRIA</t>
  </si>
  <si>
    <t>TADZHIKISTAN</t>
  </si>
  <si>
    <t>TAIWAN</t>
  </si>
  <si>
    <t>TAJIKISTAN</t>
  </si>
  <si>
    <t>TANZANIA</t>
  </si>
  <si>
    <t>THAILAND</t>
  </si>
  <si>
    <t>TOGO</t>
  </si>
  <si>
    <t>TOKELAU ISLANDS</t>
  </si>
  <si>
    <t>TONGA</t>
  </si>
  <si>
    <t>TRINIDAD &amp; TOBAGO</t>
  </si>
  <si>
    <t>TUNISIA</t>
  </si>
  <si>
    <t>TURKEY</t>
  </si>
  <si>
    <t>TURKMENISTAN</t>
  </si>
  <si>
    <t>TURKS &amp; CAICOS ISLANDS</t>
  </si>
  <si>
    <t>TUVALU</t>
  </si>
  <si>
    <t>UGANDA</t>
  </si>
  <si>
    <t>UKRAINE</t>
  </si>
  <si>
    <t>UNITED ARAB EMIRATES</t>
  </si>
  <si>
    <t>UNITED KINGDOM</t>
  </si>
  <si>
    <t>UNITED STATES</t>
  </si>
  <si>
    <t>UPPER VOLTA</t>
  </si>
  <si>
    <t>URUGUAY</t>
  </si>
  <si>
    <t>US VIRGIN ISLANDS</t>
  </si>
  <si>
    <t>UZBEKISTAN</t>
  </si>
  <si>
    <t>VANUATU</t>
  </si>
  <si>
    <t>VATICAN CITY STATE</t>
  </si>
  <si>
    <t>VENEZUELA</t>
  </si>
  <si>
    <t>VIETNAM</t>
  </si>
  <si>
    <t>WAKE ISLAND</t>
  </si>
  <si>
    <t>WALLIS AND FUTUNA</t>
  </si>
  <si>
    <t>WESTERN SAHARA</t>
  </si>
  <si>
    <t>YEMEN</t>
  </si>
  <si>
    <t>YUGOSLAVIA</t>
  </si>
  <si>
    <t>ZAIRE</t>
  </si>
  <si>
    <t>ZAMBIA</t>
  </si>
  <si>
    <t>ZIMBABWE</t>
  </si>
  <si>
    <t>AFGHAN</t>
  </si>
  <si>
    <t>ALBANIAN</t>
  </si>
  <si>
    <t>ALGERIAN</t>
  </si>
  <si>
    <t>ANDORRAN</t>
  </si>
  <si>
    <t>ANGOLAN</t>
  </si>
  <si>
    <t>ANTIGUAN</t>
  </si>
  <si>
    <t>ARGENTINIAN</t>
  </si>
  <si>
    <t>ARMENIAN</t>
  </si>
  <si>
    <t>AUSTRALIAN</t>
  </si>
  <si>
    <t>AUSTRIAN</t>
  </si>
  <si>
    <t>AZERBAIJANI</t>
  </si>
  <si>
    <t>BAHAMIAN</t>
  </si>
  <si>
    <t>BAHRAINI</t>
  </si>
  <si>
    <t>BANGLADESHI</t>
  </si>
  <si>
    <t>BELARUSSIAN</t>
  </si>
  <si>
    <t>BELGIAN</t>
  </si>
  <si>
    <t>BELIZEAN</t>
  </si>
  <si>
    <t>BENINESE</t>
  </si>
  <si>
    <t>BHUTANESE</t>
  </si>
  <si>
    <t>BOLIVIAN</t>
  </si>
  <si>
    <t>BOSNIAN</t>
  </si>
  <si>
    <t>BRAZILIAN</t>
  </si>
  <si>
    <t>BRUNEIAN</t>
  </si>
  <si>
    <t>BULGARIAN</t>
  </si>
  <si>
    <t>BURKINABE</t>
  </si>
  <si>
    <t>BURUNDIAN</t>
  </si>
  <si>
    <t>CAMBODIAN</t>
  </si>
  <si>
    <t>CAMEROONIAN</t>
  </si>
  <si>
    <t>CANADIAN</t>
  </si>
  <si>
    <t>CAPE VERDEAN</t>
  </si>
  <si>
    <t>CHADIAN</t>
  </si>
  <si>
    <t>CHILEAN</t>
  </si>
  <si>
    <t>CHINESE</t>
  </si>
  <si>
    <t>COLOMBIAN</t>
  </si>
  <si>
    <t>COMORAN</t>
  </si>
  <si>
    <t>CONGOLESE</t>
  </si>
  <si>
    <t>COOK ISLANDER</t>
  </si>
  <si>
    <t>COSTA RICAN</t>
  </si>
  <si>
    <t>CROATIAN</t>
  </si>
  <si>
    <t>CUBAN</t>
  </si>
  <si>
    <t>CYPRIOT</t>
  </si>
  <si>
    <t>CZECH</t>
  </si>
  <si>
    <t>DANISH</t>
  </si>
  <si>
    <t>DJIBOUTIAN</t>
  </si>
  <si>
    <t>DOMINICAN</t>
  </si>
  <si>
    <t>DOMINICAN (REPUBLIC)</t>
  </si>
  <si>
    <t>EAST TIMORESE</t>
  </si>
  <si>
    <t>ECUADORIAN</t>
  </si>
  <si>
    <t>EGYPTIAN</t>
  </si>
  <si>
    <t>SALVADORAN</t>
  </si>
  <si>
    <t>ERITREAN</t>
  </si>
  <si>
    <t>ESTONIAN</t>
  </si>
  <si>
    <t>ETHIOPIAN</t>
  </si>
  <si>
    <t>FIJIAN</t>
  </si>
  <si>
    <t>FINNISH</t>
  </si>
  <si>
    <t>FRENCH</t>
  </si>
  <si>
    <t>FRENCH GUIANESE</t>
  </si>
  <si>
    <t>FRENCH POLYNESIAN</t>
  </si>
  <si>
    <t>GAMBIAN</t>
  </si>
  <si>
    <t>GEORGIAN</t>
  </si>
  <si>
    <t>GERMAN</t>
  </si>
  <si>
    <t>GHANAIAN</t>
  </si>
  <si>
    <t>GREEK</t>
  </si>
  <si>
    <t>GRENADIAN</t>
  </si>
  <si>
    <t>GUADELOUPIAN</t>
  </si>
  <si>
    <t>GUAMANIAN</t>
  </si>
  <si>
    <t>GUATEMALAN</t>
  </si>
  <si>
    <t>GUINEAN</t>
  </si>
  <si>
    <t>GUINEAN (BISSAU)</t>
  </si>
  <si>
    <t>GUYANESE</t>
  </si>
  <si>
    <t>HAITIAN</t>
  </si>
  <si>
    <t>HONDURAN</t>
  </si>
  <si>
    <t>HONG KONG</t>
  </si>
  <si>
    <t>HUNGARIAN</t>
  </si>
  <si>
    <t>ICELANDER</t>
  </si>
  <si>
    <t>INDIAN</t>
  </si>
  <si>
    <t>INDONESIAN</t>
  </si>
  <si>
    <t>IRANIAN</t>
  </si>
  <si>
    <t>IRAQI</t>
  </si>
  <si>
    <t>IRISH</t>
  </si>
  <si>
    <t>ISRAELI</t>
  </si>
  <si>
    <t>ITALIAN</t>
  </si>
  <si>
    <t>JAMAICAN</t>
  </si>
  <si>
    <t>JAPANESE</t>
  </si>
  <si>
    <t>JORDANIAN</t>
  </si>
  <si>
    <t>KAZAKHSTANI</t>
  </si>
  <si>
    <t>KENYAN</t>
  </si>
  <si>
    <t>KIRGHIZ</t>
  </si>
  <si>
    <t>KOREAN, NORTH</t>
  </si>
  <si>
    <t>KOREAN, SOUTH</t>
  </si>
  <si>
    <t>KUWAITI</t>
  </si>
  <si>
    <t>LAOTIAN</t>
  </si>
  <si>
    <t>LATVIAN</t>
  </si>
  <si>
    <t>LEBANESE</t>
  </si>
  <si>
    <t>LIBERIAN</t>
  </si>
  <si>
    <t>LIBYAN</t>
  </si>
  <si>
    <t>LIECHTENSTEINER</t>
  </si>
  <si>
    <t>LITHUANIAN</t>
  </si>
  <si>
    <t>LUXEMBOURGER</t>
  </si>
  <si>
    <t>MACAO</t>
  </si>
  <si>
    <t>MACEDONIAN</t>
  </si>
  <si>
    <t>MADAGASY</t>
  </si>
  <si>
    <t>MALAWIAN</t>
  </si>
  <si>
    <t>MALAYSIAN</t>
  </si>
  <si>
    <t>MALDIVIAN</t>
  </si>
  <si>
    <t>MALIAN</t>
  </si>
  <si>
    <t>MALTESE</t>
  </si>
  <si>
    <t>MARSHALLESE</t>
  </si>
  <si>
    <t>MARTINIQUAIS</t>
  </si>
  <si>
    <t>MAURITANEAN</t>
  </si>
  <si>
    <t>MAURITIAN</t>
  </si>
  <si>
    <t>MEXICAN</t>
  </si>
  <si>
    <t>MOLDAVIAN</t>
  </si>
  <si>
    <t>MONACAN</t>
  </si>
  <si>
    <t>MONGOLIAN</t>
  </si>
  <si>
    <t>MOROCCAN</t>
  </si>
  <si>
    <t>MOZAMBICAN</t>
  </si>
  <si>
    <t>NAMIBIAN</t>
  </si>
  <si>
    <t>NAURUAN</t>
  </si>
  <si>
    <t>NEPALESE</t>
  </si>
  <si>
    <t>NEW ZEALANDER</t>
  </si>
  <si>
    <t>NICARAGUAN</t>
  </si>
  <si>
    <t>NIGERIAN</t>
  </si>
  <si>
    <t>NIUEAN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</si>
  <si>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</si>
  <si>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</si>
  <si>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</si>
  <si>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</si>
  <si>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</si>
  <si>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</si>
  <si>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</si>
  <si>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</si>
  <si>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</si>
  <si>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FILIPINO</t>
  </si>
  <si>
    <t>PITCAIRN</t>
  </si>
  <si>
    <t>POLISH</t>
  </si>
  <si>
    <t>PORTUGUESE</t>
  </si>
  <si>
    <t>PUERTO RICAN</t>
  </si>
  <si>
    <t>QATARI</t>
  </si>
  <si>
    <t>REUNIONESE</t>
  </si>
  <si>
    <t>ROMANIAN</t>
  </si>
  <si>
    <t>RUSSIAN</t>
  </si>
  <si>
    <t>RWANDAN</t>
  </si>
  <si>
    <t>SAO TOMEAN</t>
  </si>
  <si>
    <t>SAUDI ARABIAN</t>
  </si>
  <si>
    <t>SENEGALESE</t>
  </si>
  <si>
    <t>SERBIAN</t>
  </si>
  <si>
    <t>SEYCHELLOIS</t>
  </si>
  <si>
    <t>SINGAPORE CITIZEN</t>
  </si>
  <si>
    <t>SLOVAK</t>
  </si>
  <si>
    <t>SLOVENIAN</t>
  </si>
  <si>
    <t>SOLOMON ISLANDER</t>
  </si>
  <si>
    <t>SOMALI</t>
  </si>
  <si>
    <t>SOUTH AFRICAN</t>
  </si>
  <si>
    <t>SPANISH</t>
  </si>
  <si>
    <t>SRI LANKAN</t>
  </si>
  <si>
    <t>KITTIAN &amp; NEVISIAN</t>
  </si>
  <si>
    <t>ST. VINCENTIAN</t>
  </si>
  <si>
    <t>SUDANESE</t>
  </si>
  <si>
    <t>SURINAMER</t>
  </si>
  <si>
    <t>SWAZI</t>
  </si>
  <si>
    <t>SWEDISH</t>
  </si>
  <si>
    <t>SWISS</t>
  </si>
  <si>
    <t>SYRIAN</t>
  </si>
  <si>
    <t>TAIWANESE</t>
  </si>
  <si>
    <t>TAJIKISTANI</t>
  </si>
  <si>
    <t>TANZANIAN</t>
  </si>
  <si>
    <t>THAI</t>
  </si>
  <si>
    <t>TOGOLESE</t>
  </si>
  <si>
    <t>TOKELAUAN</t>
  </si>
  <si>
    <t>TONGAN</t>
  </si>
  <si>
    <t>TRINIDADIAN &amp; TOBAGONIAN</t>
  </si>
  <si>
    <t>TUNISIAN</t>
  </si>
  <si>
    <t>TURK</t>
  </si>
  <si>
    <t>TURKMEN</t>
  </si>
  <si>
    <t>UGANDAN</t>
  </si>
  <si>
    <t>UKRAINIAN</t>
  </si>
  <si>
    <t>BRITISH</t>
  </si>
  <si>
    <t>AMERICAN</t>
  </si>
  <si>
    <t>URUGUAYAN</t>
  </si>
  <si>
    <t>NI-VANUATU</t>
  </si>
  <si>
    <t>VENEZUELAN</t>
  </si>
  <si>
    <t>VIETNAMESE</t>
  </si>
  <si>
    <t>WALLIS AND FUTUNA ISLANDERS</t>
  </si>
  <si>
    <t>YEMENI</t>
  </si>
  <si>
    <t>YUGOSLAVIANS</t>
  </si>
  <si>
    <t>ZAIRAN</t>
  </si>
  <si>
    <t>ZAMBIAN</t>
  </si>
  <si>
    <t>ZIMBABWEAN</t>
  </si>
  <si>
    <t>ANTARCTICA</t>
  </si>
  <si>
    <t>BRITISH DEPENDENT TERRITORIES CITIZEN</t>
  </si>
  <si>
    <t>BRITISH NATIONAL OVERSEAS</t>
  </si>
  <si>
    <t>BRITISH OVERSEAS CITIZEN</t>
  </si>
  <si>
    <t>BRITISH PROTECTED PERSON</t>
  </si>
  <si>
    <t>BRITISH SUBJECT</t>
  </si>
  <si>
    <t>CZECHOSLOVAK</t>
  </si>
  <si>
    <t>DUTCH</t>
  </si>
  <si>
    <t>KAMPUCHEAN</t>
  </si>
  <si>
    <t>KOSOVAR</t>
  </si>
  <si>
    <t>KYRGHIS</t>
  </si>
  <si>
    <t>MICRONESIAN</t>
  </si>
  <si>
    <t>TADZHIK</t>
  </si>
  <si>
    <t>YEMEN ARAB REP</t>
  </si>
  <si>
    <t>YEMAN, SOUTH</t>
  </si>
  <si>
    <t>TIMORENSE</t>
  </si>
  <si>
    <t>SAHRAWI</t>
  </si>
  <si>
    <t>STATELESS</t>
  </si>
  <si>
    <t>@</t>
  </si>
  <si>
    <t>Symbol</t>
  </si>
  <si>
    <t xml:space="preserve">Description </t>
  </si>
  <si>
    <t>ASCII value</t>
  </si>
  <si>
    <t>Space</t>
  </si>
  <si>
    <t>!</t>
  </si>
  <si>
    <t>Exclamation mark</t>
  </si>
  <si>
    <t>#</t>
  </si>
  <si>
    <t>Number</t>
  </si>
  <si>
    <t>$</t>
  </si>
  <si>
    <t>Dollar</t>
  </si>
  <si>
    <t>%</t>
  </si>
  <si>
    <t>Per cent sign</t>
  </si>
  <si>
    <t>(</t>
  </si>
  <si>
    <t>Open parenthesis (or open bracket)</t>
  </si>
  <si>
    <t>)</t>
  </si>
  <si>
    <t>Close parenthesis (or close bracket)</t>
  </si>
  <si>
    <t>*</t>
  </si>
  <si>
    <t>Asterisk</t>
  </si>
  <si>
    <t>+</t>
  </si>
  <si>
    <t>Plus</t>
  </si>
  <si>
    <t>,</t>
  </si>
  <si>
    <t>Comma</t>
  </si>
  <si>
    <t>Hyphen</t>
  </si>
  <si>
    <t>.</t>
  </si>
  <si>
    <t>Period, dot or full stop</t>
  </si>
  <si>
    <t>/</t>
  </si>
  <si>
    <t>Slash or divide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</si>
  <si>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</si>
  <si>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</si>
  <si>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</si>
  <si>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</si>
  <si>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</si>
  <si>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</si>
  <si>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</si>
  <si>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</si>
  <si>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</si>
  <si>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</si>
  <si>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:</t>
  </si>
  <si>
    <t>Colon</t>
  </si>
  <si>
    <t>;</t>
  </si>
  <si>
    <t>Semicolon</t>
  </si>
  <si>
    <t>=</t>
  </si>
  <si>
    <t>Equals</t>
  </si>
  <si>
    <t>?</t>
  </si>
  <si>
    <t>Question mark</t>
  </si>
  <si>
    <t>At symbol</t>
  </si>
  <si>
    <t>A</t>
  </si>
  <si>
    <t>Uppercase A</t>
  </si>
  <si>
    <t>B</t>
  </si>
  <si>
    <t>Uppercase B</t>
  </si>
  <si>
    <t>C</t>
  </si>
  <si>
    <t>Uppercase C</t>
  </si>
  <si>
    <t>D</t>
  </si>
  <si>
    <t>Uppercase D</t>
  </si>
  <si>
    <t>E</t>
  </si>
  <si>
    <t>Uppercase E</t>
  </si>
  <si>
    <t>F</t>
  </si>
  <si>
    <t>Uppercase F</t>
  </si>
  <si>
    <t>G</t>
  </si>
  <si>
    <t>Uppercase G</t>
  </si>
  <si>
    <t>H</t>
  </si>
  <si>
    <t>Uppercase H</t>
  </si>
  <si>
    <t>I</t>
  </si>
  <si>
    <t>Uppercase I</t>
  </si>
  <si>
    <t>J</t>
  </si>
  <si>
    <t>Uppercase J</t>
  </si>
  <si>
    <t>K</t>
  </si>
  <si>
    <t>Uppercase K</t>
  </si>
  <si>
    <t>L</t>
  </si>
  <si>
    <t>Uppercase L</t>
  </si>
  <si>
    <t>M</t>
  </si>
  <si>
    <t>Uppercase M</t>
  </si>
  <si>
    <t>N</t>
  </si>
  <si>
    <t>Uppercase N</t>
  </si>
  <si>
    <t>O</t>
  </si>
  <si>
    <t>Uppercase O</t>
  </si>
  <si>
    <t>P</t>
  </si>
  <si>
    <t>Uppercase P</t>
  </si>
  <si>
    <t>Q</t>
  </si>
  <si>
    <t>Uppercase Q</t>
  </si>
  <si>
    <t>R</t>
  </si>
  <si>
    <t>Uppercase R</t>
  </si>
  <si>
    <t>S</t>
  </si>
  <si>
    <t>Uppercase S</t>
  </si>
  <si>
    <t>T</t>
  </si>
  <si>
    <t>Uppercase T</t>
  </si>
  <si>
    <t>U</t>
  </si>
  <si>
    <t>Uppercase U</t>
  </si>
  <si>
    <t>V</t>
  </si>
  <si>
    <t>Uppercase V</t>
  </si>
  <si>
    <t>W</t>
  </si>
  <si>
    <t>Uppercase W</t>
  </si>
  <si>
    <t>X</t>
  </si>
  <si>
    <t>Uppercase X</t>
  </si>
  <si>
    <t>Y</t>
  </si>
  <si>
    <t>Uppercase Y</t>
  </si>
  <si>
    <t>Z</t>
  </si>
  <si>
    <t>Uppercase Z</t>
  </si>
  <si>
    <t>[</t>
  </si>
  <si>
    <t>Opening bracket</t>
  </si>
  <si>
    <t>\</t>
  </si>
  <si>
    <t>Backslash</t>
  </si>
  <si>
    <t>]</t>
  </si>
  <si>
    <t>Closing bracket</t>
  </si>
  <si>
    <t>^</t>
  </si>
  <si>
    <t>Caret - circumflex</t>
  </si>
  <si>
    <t>_</t>
  </si>
  <si>
    <t>Underscore</t>
  </si>
  <si>
    <t>`</t>
  </si>
  <si>
    <t>Grave accent</t>
  </si>
  <si>
    <t>a</t>
  </si>
  <si>
    <t>Lowercase a</t>
  </si>
  <si>
    <t>b</t>
  </si>
  <si>
    <t>Lowercase b</t>
  </si>
  <si>
    <t>c</t>
  </si>
  <si>
    <t>Lowercase c</t>
  </si>
  <si>
    <t>Lowercase d</t>
  </si>
  <si>
    <t>Lowercase e</t>
  </si>
  <si>
    <t>Lowercase f</t>
  </si>
  <si>
    <t>Lowercase g</t>
  </si>
  <si>
    <t>Lowercase h</t>
  </si>
  <si>
    <t>Lowercase i</t>
  </si>
  <si>
    <t>Lowercase j</t>
  </si>
  <si>
    <t>Lowercase k</t>
  </si>
  <si>
    <t>Lowercase l</t>
  </si>
  <si>
    <t>Lowercase m</t>
  </si>
  <si>
    <t>Lowercase n</t>
  </si>
  <si>
    <t>Lowercase o</t>
  </si>
  <si>
    <t>Lowercase p</t>
  </si>
  <si>
    <t>Lowercase q</t>
  </si>
  <si>
    <t>Lowercase r</t>
  </si>
  <si>
    <t>Lowercase s</t>
  </si>
  <si>
    <t>Lowercase t</t>
  </si>
  <si>
    <t>Lowercase u</t>
  </si>
  <si>
    <t>Lowercase v</t>
  </si>
  <si>
    <t>Lowercase w</t>
  </si>
  <si>
    <t>Lowercase x</t>
  </si>
  <si>
    <t>Lowercase y</t>
  </si>
  <si>
    <t>Lowercase z</t>
  </si>
  <si>
    <t>Opening brace</t>
  </si>
  <si>
    <t>Vertical bar</t>
  </si>
  <si>
    <t>Closing brace</t>
  </si>
  <si>
    <t>Equivalency sign - tilde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</si>
  <si>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</si>
  <si>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</si>
  <si>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</si>
  <si>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</si>
  <si>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</si>
  <si>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</si>
  <si>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</si>
  <si>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</si>
  <si>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</si>
  <si>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</si>
  <si>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</si>
  <si>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</si>
  <si>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</si>
  <si>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</si>
  <si>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</si>
  <si>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</si>
  <si>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</si>
  <si>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</si>
  <si>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</si>
  <si>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</si>
  <si>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</si>
  <si>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</si>
  <si>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</si>
  <si>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</si>
  <si>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</si>
  <si>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</si>
  <si>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</si>
  <si>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 xml:space="preserve"> </t>
  </si>
  <si>
    <t>mod</t>
  </si>
  <si>
    <t>char</t>
  </si>
  <si>
    <t>ID CHECK (Begin S or T)</t>
  </si>
  <si>
    <t>ID CHECK (Begin F or G)</t>
  </si>
  <si>
    <t>Applicant's Name
(In full)</t>
  </si>
  <si>
    <t>Applicant's Alias Name
(where applicable)</t>
  </si>
  <si>
    <t>SPR/FIN HOLDER</t>
  </si>
  <si>
    <t>GENDER</t>
  </si>
  <si>
    <t>Other Citizenship</t>
  </si>
  <si>
    <t xml:space="preserve">List of acceptable characters </t>
  </si>
  <si>
    <t>List of Citizenship &amp; Place of Birth</t>
  </si>
  <si>
    <t>"</t>
  </si>
  <si>
    <t>&amp;</t>
  </si>
  <si>
    <r>
      <rPr>
        <b/>
        <sz val="11"/>
        <color indexed="13"/>
        <rFont val="Calibri"/>
        <family val="2"/>
      </rPr>
      <t>SECURITY SCREENING TEMPLATE - VERSION 2.0</t>
    </r>
    <r>
      <rPr>
        <b/>
        <sz val="11"/>
        <rFont val="Calibri"/>
        <family val="2"/>
      </rPr>
      <t xml:space="preserve">
</t>
    </r>
    <r>
      <rPr>
        <b/>
        <sz val="11"/>
        <color indexed="9"/>
        <rFont val="Calibri"/>
        <family val="2"/>
      </rPr>
      <t>IMPORTANT INSTRUCTIONS:</t>
    </r>
    <r>
      <rPr>
        <b/>
        <sz val="11"/>
        <color indexed="13"/>
        <rFont val="Calibri"/>
        <family val="2"/>
      </rPr>
      <t xml:space="preserve">
1) Refer to Instructions for the full list of acceptable characters.
2) If a data field is not applicable please leave the field blank.</t>
    </r>
  </si>
  <si>
    <t xml:space="preserve">Double quotes (or speech marks) </t>
  </si>
  <si>
    <t>Ampersand</t>
  </si>
  <si>
    <t>Single quote</t>
  </si>
  <si>
    <t>Less than (or open angled bracket)</t>
  </si>
  <si>
    <t>&lt;</t>
  </si>
  <si>
    <t>Greater than (or close angled bracket)</t>
  </si>
  <si>
    <t>&gt;</t>
  </si>
  <si>
    <t>'</t>
  </si>
  <si>
    <t>A6G</t>
  </si>
  <si>
    <t>06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</si>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</sst>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11"/>
      <color indexed="13"/>
      <name val="Calibri"/>
      <family val="2"/>
    </font>
    <font>
      <b/>
      <sz val="11"/>
      <color indexed="9"/>
      <name val="Calibri"/>
      <family val="2"/>
    </font>
    <font>
      <b/>
      <sz val="10"/>
      <name val="Arial"/>
      <family val="2"/>
    </font>
    <font>
      <sz val="10"/>
      <name val="Times New Roman"/>
      <family val="1"/>
      <charset val="1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46">
    <xf numFmtId="0" fontId="0" fillId="0" borderId="0" xfId="0"/>
    <xf numFmtId="0" fontId="1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0" xfId="0" quotePrefix="1"/>
    <xf numFmtId="0" fontId="0" fillId="0" borderId="1" xfId="0" applyBorder="1"/>
    <xf numFmtId="0" fontId="0" fillId="4" borderId="0" xfId="0" applyFill="1"/>
    <xf numFmtId="0" fontId="0" fillId="5" borderId="0" xfId="0" applyFill="1"/>
    <xf numFmtId="49" fontId="0" fillId="0" borderId="0" xfId="0" applyNumberFormat="1"/>
    <xf numFmtId="49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49" fontId="0" fillId="6" borderId="1" xfId="0" applyNumberFormat="1" applyFill="1" applyBorder="1" applyAlignment="1" applyProtection="1">
      <alignment horizontal="center" wrapText="1"/>
      <protection locked="0"/>
    </xf>
    <xf numFmtId="0" fontId="0" fillId="0" borderId="1" xfId="0" applyBorder="1" applyAlignment="1">
      <alignment wrapText="1"/>
    </xf>
    <xf numFmtId="49" fontId="0" fillId="6" borderId="1" xfId="0" applyNumberFormat="1" applyFill="1" applyBorder="1" applyAlignment="1" applyProtection="1">
      <alignment horizontal="center" vertical="center" wrapText="1"/>
      <protection locked="0"/>
    </xf>
    <xf numFmtId="1" fontId="0" fillId="6" borderId="1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6" fillId="3" borderId="2" xfId="2" applyFont="1" applyFill="1" applyBorder="1" applyAlignment="1">
      <alignment vertical="center" wrapText="1"/>
    </xf>
    <xf numFmtId="0" fontId="6" fillId="0" borderId="0" xfId="2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2" applyBorder="1" applyAlignment="1">
      <alignment vertical="center" wrapText="1"/>
    </xf>
    <xf numFmtId="0" fontId="2" fillId="0" borderId="0" xfId="2" applyAlignment="1">
      <alignment vertical="center" wrapText="1"/>
    </xf>
    <xf numFmtId="49" fontId="11" fillId="0" borderId="1" xfId="0" quotePrefix="1" applyNumberFormat="1" applyFont="1" applyBorder="1" applyAlignment="1">
      <alignment horizontal="center" vertical="center" wrapText="1"/>
    </xf>
    <xf numFmtId="49" fontId="0" fillId="0" borderId="0" xfId="0" applyNumberFormat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1" fontId="0" fillId="0" borderId="0" xfId="0" applyNumberFormat="1" applyAlignment="1" applyProtection="1">
      <alignment wrapText="1"/>
      <protection locked="0"/>
    </xf>
    <xf numFmtId="0" fontId="0" fillId="0" borderId="0" xfId="0" applyProtection="1"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1" fontId="0" fillId="6" borderId="1" xfId="0" applyNumberFormat="1" applyFill="1" applyBorder="1" applyAlignment="1" applyProtection="1">
      <alignment horizontal="center" wrapText="1"/>
      <protection locked="0"/>
    </xf>
    <xf numFmtId="0" fontId="8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1" applyNumberFormat="1" applyFill="1" applyBorder="1" applyAlignment="1" applyProtection="1">
      <alignment horizontal="center" vertical="center" wrapText="1"/>
      <protection locked="0"/>
    </xf>
    <xf numFmtId="0" fontId="3" fillId="5" borderId="3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/>
    </xf>
    <xf numFmtId="0" fontId="11" fillId="5" borderId="5" xfId="0" applyFont="1" applyFill="1" applyBorder="1" applyAlignment="1">
      <alignment vertical="center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23"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  <dxf>
      <font>
        <color theme="9" tint="-0.499984740745262"/>
      </font>
      <fill>
        <patternFill>
          <bgColor rgb="FF99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160"/>
  <sheetViews>
    <sheetView tabSelected="1" zoomScale="75" zoomScaleNormal="75" workbookViewId="0">
      <selection activeCell="B12" sqref="B12:Q17"/>
    </sheetView>
  </sheetViews>
  <sheetFormatPr defaultColWidth="11.5703125" defaultRowHeight="15" x14ac:dyDescent="0.25"/>
  <cols>
    <col min="1" max="1" width="13.42578125" customWidth="1"/>
    <col min="2" max="2" width="20.28515625" customWidth="1"/>
    <col min="3" max="3" width="13.7109375" bestFit="1" customWidth="1"/>
    <col min="4" max="4" width="19.7109375" customWidth="1"/>
    <col min="5" max="5" width="17.7109375" customWidth="1"/>
    <col min="6" max="7" width="30.7109375" customWidth="1"/>
    <col min="8" max="8" width="15.7109375" customWidth="1"/>
    <col min="9" max="9" width="14.5703125" customWidth="1"/>
    <col min="10" max="10" width="11.28515625" bestFit="1" customWidth="1"/>
    <col min="11" max="11" width="10.5703125" customWidth="1"/>
    <col min="12" max="12" width="11.28515625" customWidth="1"/>
    <col min="13" max="13" width="17" customWidth="1"/>
    <col min="14" max="14" width="18.42578125" bestFit="1" customWidth="1"/>
    <col min="15" max="15" width="17.28515625" customWidth="1"/>
    <col min="16" max="16" width="59.7109375" customWidth="1"/>
  </cols>
  <sheetData>
    <row r="1" spans="1:18" ht="65.25" customHeight="1" x14ac:dyDescent="0.25">
      <c r="A1" s="37" t="s">
        <v>691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9"/>
    </row>
    <row r="2" spans="1:18" ht="25.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7</v>
      </c>
      <c r="J2" s="1" t="s">
        <v>8</v>
      </c>
      <c r="K2" s="1" t="s">
        <v>9</v>
      </c>
      <c r="L2" s="1" t="s">
        <v>7</v>
      </c>
      <c r="M2" s="1" t="s">
        <v>5</v>
      </c>
      <c r="N2" s="1" t="s">
        <v>10</v>
      </c>
    </row>
    <row r="3" spans="1:18" ht="25.5" x14ac:dyDescent="0.25">
      <c r="A3" s="1" t="s">
        <v>11</v>
      </c>
      <c r="B3" s="1" t="s">
        <v>12</v>
      </c>
      <c r="C3" s="1"/>
      <c r="D3" s="1"/>
      <c r="E3" s="1" t="s">
        <v>14</v>
      </c>
      <c r="F3" s="1"/>
      <c r="G3" s="1"/>
      <c r="H3" s="1" t="s">
        <v>14</v>
      </c>
      <c r="I3" s="1" t="s">
        <v>14</v>
      </c>
      <c r="J3" s="1"/>
      <c r="K3" s="1"/>
      <c r="L3" s="1"/>
      <c r="M3" s="1"/>
      <c r="N3" s="1"/>
    </row>
    <row r="4" spans="1:18" ht="38.25" x14ac:dyDescent="0.25">
      <c r="A4" s="2"/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  <c r="N4" s="3" t="s">
        <v>27</v>
      </c>
    </row>
    <row r="5" spans="1:18" x14ac:dyDescent="0.25">
      <c r="B5" s="11" t="s">
        <v>702</v>
      </c>
      <c r="C5" s="11" t="s">
        <v>700</v>
      </c>
      <c r="D5" s="11" t="s">
        <v>701</v>
      </c>
      <c r="E5" s="34"/>
      <c r="F5" s="33"/>
      <c r="G5" s="11"/>
      <c r="H5" s="35"/>
      <c r="I5" s="35"/>
      <c r="J5" s="33"/>
      <c r="K5" s="33"/>
      <c r="L5" s="33"/>
      <c r="M5" s="36"/>
      <c r="N5" s="33"/>
    </row>
    <row r="6" spans="1:18" x14ac:dyDescent="0.25">
      <c r="B6" s="4"/>
    </row>
    <row r="8" spans="1:18" ht="23.25" customHeight="1" x14ac:dyDescent="0.25"/>
    <row r="9" spans="1:18" ht="25.5" x14ac:dyDescent="0.25">
      <c r="A9" s="1" t="s">
        <v>0</v>
      </c>
      <c r="B9" s="1" t="s">
        <v>28</v>
      </c>
      <c r="C9" s="1" t="s">
        <v>29</v>
      </c>
      <c r="D9" s="1" t="s">
        <v>8</v>
      </c>
      <c r="E9" s="1" t="s">
        <v>8</v>
      </c>
      <c r="F9" s="1" t="s">
        <v>30</v>
      </c>
      <c r="G9" s="1" t="s">
        <v>30</v>
      </c>
      <c r="H9" s="1" t="s">
        <v>9</v>
      </c>
      <c r="I9" s="1" t="s">
        <v>9</v>
      </c>
      <c r="J9" s="1" t="s">
        <v>7</v>
      </c>
      <c r="K9" s="1" t="s">
        <v>30</v>
      </c>
      <c r="L9" s="1" t="s">
        <v>31</v>
      </c>
      <c r="M9" s="1" t="s">
        <v>5</v>
      </c>
      <c r="N9" s="1" t="s">
        <v>32</v>
      </c>
      <c r="O9" s="1" t="s">
        <v>5</v>
      </c>
      <c r="P9" s="1" t="s">
        <v>33</v>
      </c>
    </row>
    <row r="10" spans="1:18" ht="25.5" x14ac:dyDescent="0.25">
      <c r="A10" s="1" t="s">
        <v>11</v>
      </c>
      <c r="B10" s="1" t="s">
        <v>34</v>
      </c>
      <c r="C10" s="1"/>
      <c r="D10" s="1"/>
      <c r="E10" s="1"/>
      <c r="F10" s="1" t="s">
        <v>35</v>
      </c>
      <c r="G10" s="1" t="s">
        <v>35</v>
      </c>
      <c r="H10" s="1" t="s">
        <v>12</v>
      </c>
      <c r="I10" s="1" t="s">
        <v>12</v>
      </c>
      <c r="J10" s="1" t="s">
        <v>14</v>
      </c>
      <c r="K10" s="1" t="s">
        <v>36</v>
      </c>
      <c r="L10" s="1"/>
      <c r="M10" s="1"/>
      <c r="N10" s="1"/>
      <c r="O10" s="1"/>
      <c r="P10" s="1"/>
    </row>
    <row r="11" spans="1:18" ht="38.25" x14ac:dyDescent="0.25">
      <c r="A11" s="3" t="s">
        <v>37</v>
      </c>
      <c r="B11" s="3" t="s">
        <v>38</v>
      </c>
      <c r="C11" s="3" t="s">
        <v>39</v>
      </c>
      <c r="D11" s="3" t="s">
        <v>682</v>
      </c>
      <c r="E11" s="3" t="s">
        <v>683</v>
      </c>
      <c r="F11" s="3" t="s">
        <v>40</v>
      </c>
      <c r="G11" s="3" t="s">
        <v>50</v>
      </c>
      <c r="H11" s="3" t="s">
        <v>41</v>
      </c>
      <c r="I11" s="3" t="s">
        <v>42</v>
      </c>
      <c r="J11" s="3" t="s">
        <v>43</v>
      </c>
      <c r="K11" s="3" t="s">
        <v>44</v>
      </c>
      <c r="L11" s="3" t="s">
        <v>45</v>
      </c>
      <c r="M11" s="3" t="s">
        <v>46</v>
      </c>
      <c r="N11" s="3" t="s">
        <v>47</v>
      </c>
      <c r="O11" s="3" t="s">
        <v>48</v>
      </c>
      <c r="P11" s="3" t="s">
        <v>49</v>
      </c>
      <c r="Q11" s="32"/>
      <c r="R11" s="32"/>
    </row>
    <row r="12" spans="1:18" ht="42" customHeight="1" x14ac:dyDescent="0.25">
      <c r="A12" s="12">
        <v>1</v>
      </c>
      <c r="B12" s="13"/>
      <c r="C12" s="13"/>
      <c r="D12" s="13"/>
      <c r="E12" s="13"/>
      <c r="F12" s="13"/>
      <c r="G12" s="13"/>
      <c r="H12" s="13"/>
      <c r="I12" s="13"/>
      <c r="J12" s="14"/>
      <c r="K12" s="13"/>
      <c r="L12" s="13"/>
      <c r="M12" s="13"/>
      <c r="N12" s="13"/>
      <c r="O12" s="13"/>
      <c r="P12" s="13"/>
      <c r="Q12" s="32"/>
      <c r="R12" s="32"/>
    </row>
    <row r="13" spans="1:18" ht="42" customHeight="1" x14ac:dyDescent="0.25">
      <c r="A13" s="5">
        <v>2</v>
      </c>
      <c r="B13" s="13"/>
      <c r="C13" s="13"/>
      <c r="D13" s="13"/>
      <c r="E13" s="13"/>
      <c r="F13" s="13"/>
      <c r="G13" s="13"/>
      <c r="H13" s="13"/>
      <c r="I13" s="13"/>
      <c r="J13" s="14"/>
      <c r="K13" s="13"/>
      <c r="L13" s="13"/>
      <c r="M13" s="13"/>
      <c r="N13" s="13"/>
      <c r="O13" s="13"/>
      <c r="P13" s="13"/>
      <c r="Q13" s="32"/>
      <c r="R13" s="32"/>
    </row>
    <row r="14" spans="1:18" ht="42" customHeight="1" x14ac:dyDescent="0.25">
      <c r="A14" s="5">
        <v>3</v>
      </c>
      <c r="B14" s="13"/>
      <c r="C14" s="13"/>
      <c r="D14" s="13"/>
      <c r="E14" s="13"/>
      <c r="F14" s="13"/>
      <c r="G14" s="13"/>
      <c r="H14" s="13"/>
      <c r="I14" s="13"/>
      <c r="J14" s="14"/>
      <c r="K14" s="13"/>
      <c r="L14" s="13"/>
      <c r="M14" s="13"/>
      <c r="N14" s="13"/>
      <c r="O14" s="13"/>
      <c r="P14" s="13"/>
      <c r="Q14" s="32"/>
      <c r="R14" s="32"/>
    </row>
    <row r="15" spans="1:18" ht="42" customHeight="1" x14ac:dyDescent="0.25">
      <c r="A15" s="5">
        <v>4</v>
      </c>
      <c r="B15" s="13"/>
      <c r="C15" s="13"/>
      <c r="D15" s="13"/>
      <c r="E15" s="13"/>
      <c r="F15" s="13"/>
      <c r="G15" s="13"/>
      <c r="H15" s="13"/>
      <c r="I15" s="13"/>
      <c r="J15" s="14"/>
      <c r="K15" s="13"/>
      <c r="L15" s="13"/>
      <c r="M15" s="13"/>
      <c r="N15" s="13"/>
      <c r="O15" s="13"/>
      <c r="P15" s="13"/>
      <c r="Q15" s="32"/>
      <c r="R15" s="32"/>
    </row>
    <row r="16" spans="1:18" ht="42" customHeight="1" x14ac:dyDescent="0.25">
      <c r="A16" s="5">
        <v>5</v>
      </c>
      <c r="B16" s="13"/>
      <c r="C16" s="13"/>
      <c r="D16" s="13"/>
      <c r="E16" s="13"/>
      <c r="F16" s="13"/>
      <c r="G16" s="13"/>
      <c r="H16" s="13"/>
      <c r="I16" s="13"/>
      <c r="J16" s="14"/>
      <c r="K16" s="13"/>
      <c r="L16" s="13"/>
      <c r="M16" s="13"/>
      <c r="N16" s="13"/>
      <c r="O16" s="13"/>
      <c r="P16" s="13"/>
      <c r="Q16" s="32"/>
      <c r="R16" s="32"/>
    </row>
    <row r="17" spans="1:18" ht="42" customHeight="1" x14ac:dyDescent="0.25">
      <c r="A17" s="5">
        <v>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32"/>
      <c r="R17" s="32"/>
    </row>
    <row r="18" spans="1:18" ht="42" customHeight="1" x14ac:dyDescent="0.25">
      <c r="A18" s="5">
        <v>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32"/>
      <c r="R18" s="32"/>
    </row>
    <row r="19" spans="1:18" ht="42" customHeight="1" x14ac:dyDescent="0.25">
      <c r="A19" s="5">
        <v>8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32"/>
      <c r="R19" s="32"/>
    </row>
    <row r="20" spans="1:18" ht="42" customHeight="1" x14ac:dyDescent="0.25">
      <c r="A20" s="5">
        <v>9</v>
      </c>
      <c r="B20" s="13"/>
      <c r="C20" s="13"/>
      <c r="D20" s="13"/>
      <c r="E20" s="13"/>
      <c r="F20" s="13"/>
      <c r="G20" s="13"/>
      <c r="H20" s="13"/>
      <c r="I20" s="13"/>
      <c r="J20" s="14"/>
      <c r="K20" s="13"/>
      <c r="L20" s="13"/>
      <c r="M20" s="13"/>
      <c r="N20" s="13"/>
      <c r="O20" s="13"/>
      <c r="P20" s="13"/>
      <c r="Q20" s="32"/>
      <c r="R20" s="32"/>
    </row>
    <row r="21" spans="1:18" ht="42" customHeight="1" x14ac:dyDescent="0.25">
      <c r="A21" s="5">
        <v>10</v>
      </c>
      <c r="B21" s="13"/>
      <c r="C21" s="13"/>
      <c r="D21" s="13"/>
      <c r="E21" s="13"/>
      <c r="F21" s="13"/>
      <c r="G21" s="13"/>
      <c r="H21" s="13"/>
      <c r="I21" s="13"/>
      <c r="J21" s="14"/>
      <c r="K21" s="13"/>
      <c r="L21" s="13"/>
      <c r="M21" s="13"/>
      <c r="N21" s="13"/>
      <c r="O21" s="13"/>
      <c r="P21" s="13"/>
      <c r="Q21" s="32"/>
      <c r="R21" s="32"/>
    </row>
    <row r="22" spans="1:18" ht="42" customHeight="1" x14ac:dyDescent="0.25">
      <c r="A22" s="5">
        <v>11</v>
      </c>
      <c r="B22" s="13"/>
      <c r="C22" s="13"/>
      <c r="D22" s="13"/>
      <c r="E22" s="13"/>
      <c r="F22" s="13"/>
      <c r="G22" s="13"/>
      <c r="H22" s="13"/>
      <c r="I22" s="13"/>
      <c r="J22" s="14"/>
      <c r="K22" s="13"/>
      <c r="L22" s="13"/>
      <c r="M22" s="13"/>
      <c r="N22" s="13"/>
      <c r="O22" s="13"/>
      <c r="P22" s="13"/>
      <c r="Q22" s="32"/>
      <c r="R22" s="32"/>
    </row>
    <row r="23" spans="1:18" ht="42" customHeight="1" x14ac:dyDescent="0.25">
      <c r="A23" s="5">
        <v>12</v>
      </c>
      <c r="B23" s="13"/>
      <c r="C23" s="13"/>
      <c r="D23" s="13"/>
      <c r="E23" s="13"/>
      <c r="F23" s="13"/>
      <c r="G23" s="13"/>
      <c r="H23" s="13"/>
      <c r="I23" s="13"/>
      <c r="J23" s="14"/>
      <c r="K23" s="13"/>
      <c r="L23" s="13"/>
      <c r="M23" s="13"/>
      <c r="N23" s="13"/>
      <c r="O23" s="13"/>
      <c r="P23" s="13"/>
      <c r="Q23" s="32"/>
      <c r="R23" s="32"/>
    </row>
    <row r="24" spans="1:18" ht="42" customHeight="1" x14ac:dyDescent="0.25">
      <c r="A24" s="5">
        <v>13</v>
      </c>
      <c r="B24" s="13"/>
      <c r="C24" s="13"/>
      <c r="D24" s="13"/>
      <c r="E24" s="13"/>
      <c r="F24" s="13"/>
      <c r="G24" s="13"/>
      <c r="H24" s="13"/>
      <c r="I24" s="13"/>
      <c r="J24" s="14"/>
      <c r="K24" s="13"/>
      <c r="L24" s="13"/>
      <c r="M24" s="13"/>
      <c r="N24" s="13"/>
      <c r="O24" s="13"/>
      <c r="P24" s="13"/>
      <c r="Q24" s="32"/>
      <c r="R24" s="32"/>
    </row>
    <row r="25" spans="1:18" ht="42" customHeight="1" x14ac:dyDescent="0.25">
      <c r="A25" s="5">
        <v>14</v>
      </c>
      <c r="B25" s="13"/>
      <c r="C25" s="13"/>
      <c r="D25" s="13"/>
      <c r="E25" s="13"/>
      <c r="F25" s="13"/>
      <c r="G25" s="13"/>
      <c r="H25" s="13"/>
      <c r="I25" s="13"/>
      <c r="J25" s="14"/>
      <c r="K25" s="13"/>
      <c r="L25" s="13"/>
      <c r="M25" s="13"/>
      <c r="N25" s="13"/>
      <c r="O25" s="13"/>
      <c r="P25" s="13"/>
      <c r="Q25" s="32"/>
      <c r="R25" s="32"/>
    </row>
    <row r="26" spans="1:18" ht="42" customHeight="1" x14ac:dyDescent="0.25">
      <c r="A26" s="5">
        <v>15</v>
      </c>
      <c r="B26" s="13"/>
      <c r="C26" s="13"/>
      <c r="D26" s="13"/>
      <c r="E26" s="13"/>
      <c r="F26" s="13"/>
      <c r="G26" s="13"/>
      <c r="H26" s="13"/>
      <c r="I26" s="13"/>
      <c r="J26" s="14"/>
      <c r="K26" s="13"/>
      <c r="L26" s="13"/>
      <c r="M26" s="13"/>
      <c r="N26" s="13"/>
      <c r="O26" s="13"/>
      <c r="P26" s="13"/>
      <c r="Q26" s="32"/>
      <c r="R26" s="32"/>
    </row>
    <row r="27" spans="1:18" ht="42" customHeight="1" x14ac:dyDescent="0.25">
      <c r="A27" s="5">
        <v>16</v>
      </c>
      <c r="B27" s="13"/>
      <c r="C27" s="13"/>
      <c r="D27" s="13"/>
      <c r="E27" s="13"/>
      <c r="F27" s="13"/>
      <c r="G27" s="13"/>
      <c r="H27" s="13"/>
      <c r="I27" s="13"/>
      <c r="J27" s="14"/>
      <c r="K27" s="13"/>
      <c r="L27" s="13"/>
      <c r="M27" s="13"/>
      <c r="N27" s="13"/>
      <c r="O27" s="13"/>
      <c r="P27" s="13"/>
      <c r="Q27" s="32"/>
      <c r="R27" s="32"/>
    </row>
    <row r="28" spans="1:18" ht="42" customHeight="1" x14ac:dyDescent="0.25">
      <c r="A28" s="5">
        <v>17</v>
      </c>
      <c r="B28" s="13"/>
      <c r="C28" s="13"/>
      <c r="D28" s="13"/>
      <c r="E28" s="13"/>
      <c r="F28" s="13"/>
      <c r="G28" s="13"/>
      <c r="H28" s="13"/>
      <c r="I28" s="13"/>
      <c r="J28" s="14"/>
      <c r="K28" s="13"/>
      <c r="L28" s="13"/>
      <c r="M28" s="13"/>
      <c r="N28" s="13"/>
      <c r="O28" s="13"/>
      <c r="P28" s="13"/>
      <c r="Q28" s="32"/>
      <c r="R28" s="32"/>
    </row>
    <row r="29" spans="1:18" ht="42" customHeight="1" x14ac:dyDescent="0.25">
      <c r="A29" s="5">
        <v>18</v>
      </c>
      <c r="B29" s="13"/>
      <c r="C29" s="13"/>
      <c r="D29" s="13"/>
      <c r="E29" s="13"/>
      <c r="F29" s="13"/>
      <c r="G29" s="13"/>
      <c r="H29" s="13"/>
      <c r="I29" s="13"/>
      <c r="J29" s="14"/>
      <c r="K29" s="13"/>
      <c r="L29" s="13"/>
      <c r="M29" s="13"/>
      <c r="N29" s="13"/>
      <c r="O29" s="13"/>
      <c r="P29" s="13"/>
      <c r="Q29" s="32"/>
      <c r="R29" s="32"/>
    </row>
    <row r="30" spans="1:18" ht="42" customHeight="1" x14ac:dyDescent="0.25">
      <c r="A30" s="5">
        <v>19</v>
      </c>
      <c r="B30" s="13"/>
      <c r="C30" s="13"/>
      <c r="D30" s="13"/>
      <c r="E30" s="13"/>
      <c r="F30" s="13"/>
      <c r="G30" s="13"/>
      <c r="H30" s="13"/>
      <c r="I30" s="13"/>
      <c r="J30" s="14"/>
      <c r="K30" s="13"/>
      <c r="L30" s="13"/>
      <c r="M30" s="13"/>
      <c r="N30" s="13"/>
      <c r="O30" s="13"/>
      <c r="P30" s="13"/>
      <c r="Q30" s="32"/>
      <c r="R30" s="32"/>
    </row>
    <row r="31" spans="1:18" ht="42" customHeight="1" x14ac:dyDescent="0.25">
      <c r="A31" s="5">
        <v>20</v>
      </c>
      <c r="B31" s="13"/>
      <c r="C31" s="13"/>
      <c r="D31" s="13"/>
      <c r="E31" s="13"/>
      <c r="F31" s="13"/>
      <c r="G31" s="13"/>
      <c r="H31" s="13"/>
      <c r="I31" s="13"/>
      <c r="J31" s="14"/>
      <c r="K31" s="13"/>
      <c r="L31" s="13"/>
      <c r="M31" s="13"/>
      <c r="N31" s="13"/>
      <c r="O31" s="13"/>
      <c r="P31" s="13"/>
      <c r="Q31" s="32"/>
      <c r="R31" s="32"/>
    </row>
    <row r="32" spans="1:18" ht="42" customHeight="1" x14ac:dyDescent="0.25">
      <c r="A32" s="5">
        <v>21</v>
      </c>
      <c r="B32" s="13"/>
      <c r="C32" s="13"/>
      <c r="D32" s="13"/>
      <c r="E32" s="13"/>
      <c r="F32" s="13"/>
      <c r="G32" s="13"/>
      <c r="H32" s="13"/>
      <c r="I32" s="13"/>
      <c r="J32" s="14"/>
      <c r="K32" s="13"/>
      <c r="L32" s="13"/>
      <c r="M32" s="13"/>
      <c r="N32" s="13"/>
      <c r="O32" s="13"/>
      <c r="P32" s="13"/>
      <c r="Q32" s="32"/>
      <c r="R32" s="32"/>
    </row>
    <row r="33" spans="1:18" ht="42" customHeight="1" x14ac:dyDescent="0.25">
      <c r="A33" s="5">
        <v>22</v>
      </c>
      <c r="B33" s="13"/>
      <c r="C33" s="13"/>
      <c r="D33" s="13"/>
      <c r="E33" s="13"/>
      <c r="F33" s="13"/>
      <c r="G33" s="13"/>
      <c r="H33" s="13"/>
      <c r="I33" s="13"/>
      <c r="J33" s="14"/>
      <c r="K33" s="13"/>
      <c r="L33" s="13"/>
      <c r="M33" s="13"/>
      <c r="N33" s="13"/>
      <c r="O33" s="13"/>
      <c r="P33" s="13"/>
      <c r="Q33" s="32"/>
      <c r="R33" s="32"/>
    </row>
    <row r="34" spans="1:18" ht="42" customHeight="1" x14ac:dyDescent="0.25">
      <c r="A34" s="5">
        <v>23</v>
      </c>
      <c r="B34" s="13"/>
      <c r="C34" s="13"/>
      <c r="D34" s="13"/>
      <c r="E34" s="13"/>
      <c r="F34" s="13"/>
      <c r="G34" s="13"/>
      <c r="H34" s="13"/>
      <c r="I34" s="13"/>
      <c r="J34" s="14"/>
      <c r="K34" s="13"/>
      <c r="L34" s="13"/>
      <c r="M34" s="13"/>
      <c r="N34" s="13"/>
      <c r="O34" s="13"/>
      <c r="P34" s="13"/>
      <c r="Q34" s="32"/>
      <c r="R34" s="32"/>
    </row>
    <row r="35" spans="1:18" ht="42" customHeight="1" x14ac:dyDescent="0.25">
      <c r="A35" s="5">
        <v>24</v>
      </c>
      <c r="B35" s="13"/>
      <c r="C35" s="13"/>
      <c r="D35" s="13"/>
      <c r="E35" s="13"/>
      <c r="F35" s="13"/>
      <c r="G35" s="13"/>
      <c r="H35" s="13"/>
      <c r="I35" s="13"/>
      <c r="J35" s="14"/>
      <c r="K35" s="13"/>
      <c r="L35" s="13"/>
      <c r="M35" s="13"/>
      <c r="N35" s="13"/>
      <c r="O35" s="13"/>
      <c r="P35" s="13"/>
      <c r="Q35" s="32"/>
      <c r="R35" s="32"/>
    </row>
    <row r="36" spans="1:18" ht="42" customHeight="1" x14ac:dyDescent="0.25">
      <c r="A36" s="5">
        <v>25</v>
      </c>
      <c r="B36" s="13"/>
      <c r="C36" s="13"/>
      <c r="D36" s="13"/>
      <c r="E36" s="13"/>
      <c r="F36" s="13"/>
      <c r="G36" s="13"/>
      <c r="H36" s="13"/>
      <c r="I36" s="13"/>
      <c r="J36" s="14"/>
      <c r="K36" s="13"/>
      <c r="L36" s="13"/>
      <c r="M36" s="13"/>
      <c r="N36" s="13"/>
      <c r="O36" s="13"/>
      <c r="P36" s="13"/>
      <c r="Q36" s="32"/>
      <c r="R36" s="32"/>
    </row>
    <row r="37" spans="1:18" ht="42" customHeight="1" x14ac:dyDescent="0.25">
      <c r="A37" s="5">
        <v>26</v>
      </c>
      <c r="B37" s="13"/>
      <c r="C37" s="13"/>
      <c r="D37" s="13"/>
      <c r="E37" s="13"/>
      <c r="F37" s="13"/>
      <c r="G37" s="13"/>
      <c r="H37" s="13"/>
      <c r="I37" s="13"/>
      <c r="J37" s="14"/>
      <c r="K37" s="13"/>
      <c r="L37" s="13"/>
      <c r="M37" s="13"/>
      <c r="N37" s="13"/>
      <c r="O37" s="13"/>
      <c r="P37" s="13"/>
      <c r="Q37" s="32"/>
      <c r="R37" s="32"/>
    </row>
    <row r="38" spans="1:18" ht="42" customHeight="1" x14ac:dyDescent="0.25">
      <c r="A38" s="5">
        <v>27</v>
      </c>
      <c r="B38" s="13"/>
      <c r="C38" s="13"/>
      <c r="D38" s="13"/>
      <c r="E38" s="13"/>
      <c r="F38" s="13"/>
      <c r="G38" s="13"/>
      <c r="H38" s="13"/>
      <c r="I38" s="13"/>
      <c r="J38" s="14"/>
      <c r="K38" s="13"/>
      <c r="L38" s="13"/>
      <c r="M38" s="13"/>
      <c r="N38" s="13"/>
      <c r="O38" s="13"/>
      <c r="P38" s="13"/>
      <c r="Q38" s="32"/>
      <c r="R38" s="32"/>
    </row>
    <row r="39" spans="1:18" ht="42" customHeight="1" x14ac:dyDescent="0.25">
      <c r="A39" s="5">
        <v>28</v>
      </c>
      <c r="B39" s="13"/>
      <c r="C39" s="13"/>
      <c r="D39" s="13"/>
      <c r="E39" s="13"/>
      <c r="F39" s="13"/>
      <c r="G39" s="13"/>
      <c r="H39" s="13"/>
      <c r="I39" s="13"/>
      <c r="J39" s="14"/>
      <c r="K39" s="13"/>
      <c r="L39" s="13"/>
      <c r="M39" s="13"/>
      <c r="N39" s="13"/>
      <c r="O39" s="13"/>
      <c r="P39" s="13"/>
      <c r="Q39" s="32"/>
      <c r="R39" s="32"/>
    </row>
    <row r="40" spans="1:18" ht="42" customHeight="1" x14ac:dyDescent="0.25">
      <c r="A40" s="5">
        <v>29</v>
      </c>
      <c r="B40" s="13"/>
      <c r="C40" s="13"/>
      <c r="D40" s="13"/>
      <c r="E40" s="13"/>
      <c r="F40" s="13"/>
      <c r="G40" s="13"/>
      <c r="H40" s="13"/>
      <c r="I40" s="13"/>
      <c r="J40" s="14"/>
      <c r="K40" s="13"/>
      <c r="L40" s="13"/>
      <c r="M40" s="13"/>
      <c r="N40" s="13"/>
      <c r="O40" s="13"/>
      <c r="P40" s="13"/>
      <c r="Q40" s="32"/>
      <c r="R40" s="32"/>
    </row>
    <row r="41" spans="1:18" ht="42" customHeight="1" x14ac:dyDescent="0.25">
      <c r="A41" s="5">
        <v>30</v>
      </c>
      <c r="B41" s="13"/>
      <c r="C41" s="13"/>
      <c r="D41" s="13"/>
      <c r="E41" s="13"/>
      <c r="F41" s="13"/>
      <c r="G41" s="13"/>
      <c r="H41" s="13"/>
      <c r="I41" s="13"/>
      <c r="J41" s="14"/>
      <c r="K41" s="13"/>
      <c r="L41" s="13"/>
      <c r="M41" s="13"/>
      <c r="N41" s="13"/>
      <c r="O41" s="13"/>
      <c r="P41" s="13"/>
      <c r="Q41" s="32"/>
      <c r="R41" s="32"/>
    </row>
    <row r="42" spans="1:18" ht="42" customHeight="1" x14ac:dyDescent="0.25">
      <c r="A42" s="5">
        <v>31</v>
      </c>
      <c r="B42" s="13"/>
      <c r="C42" s="13"/>
      <c r="D42" s="13"/>
      <c r="E42" s="13"/>
      <c r="F42" s="13"/>
      <c r="G42" s="13"/>
      <c r="H42" s="13"/>
      <c r="I42" s="13"/>
      <c r="J42" s="14"/>
      <c r="K42" s="13"/>
      <c r="L42" s="13"/>
      <c r="M42" s="13"/>
      <c r="N42" s="13"/>
      <c r="O42" s="13"/>
      <c r="P42" s="13"/>
      <c r="Q42" s="32"/>
      <c r="R42" s="32"/>
    </row>
    <row r="43" spans="1:18" ht="42" customHeight="1" x14ac:dyDescent="0.25">
      <c r="A43" s="5">
        <v>32</v>
      </c>
      <c r="B43" s="13"/>
      <c r="C43" s="13"/>
      <c r="D43" s="13"/>
      <c r="E43" s="13"/>
      <c r="F43" s="13"/>
      <c r="G43" s="13"/>
      <c r="H43" s="13"/>
      <c r="I43" s="13"/>
      <c r="J43" s="14"/>
      <c r="K43" s="13"/>
      <c r="L43" s="13"/>
      <c r="M43" s="13"/>
      <c r="N43" s="13"/>
      <c r="O43" s="13"/>
      <c r="P43" s="13"/>
      <c r="Q43" s="32"/>
      <c r="R43" s="32"/>
    </row>
    <row r="44" spans="1:18" ht="42" customHeight="1" x14ac:dyDescent="0.25">
      <c r="A44" s="5">
        <v>33</v>
      </c>
      <c r="B44" s="13"/>
      <c r="C44" s="13"/>
      <c r="D44" s="13"/>
      <c r="E44" s="13"/>
      <c r="F44" s="13"/>
      <c r="G44" s="13"/>
      <c r="H44" s="13"/>
      <c r="I44" s="13"/>
      <c r="J44" s="14"/>
      <c r="K44" s="13"/>
      <c r="L44" s="13"/>
      <c r="M44" s="13"/>
      <c r="N44" s="13"/>
      <c r="O44" s="13"/>
      <c r="P44" s="13"/>
      <c r="Q44" s="32"/>
      <c r="R44" s="32"/>
    </row>
    <row r="45" spans="1:18" ht="42" customHeight="1" x14ac:dyDescent="0.25">
      <c r="A45" s="5">
        <v>34</v>
      </c>
      <c r="B45" s="13"/>
      <c r="C45" s="13"/>
      <c r="D45" s="13"/>
      <c r="E45" s="13"/>
      <c r="F45" s="13"/>
      <c r="G45" s="13"/>
      <c r="H45" s="13"/>
      <c r="I45" s="13"/>
      <c r="J45" s="14"/>
      <c r="K45" s="13"/>
      <c r="L45" s="13"/>
      <c r="M45" s="13"/>
      <c r="N45" s="13"/>
      <c r="O45" s="13"/>
      <c r="P45" s="13"/>
      <c r="Q45" s="32"/>
      <c r="R45" s="32"/>
    </row>
    <row r="46" spans="1:18" ht="42" customHeight="1" x14ac:dyDescent="0.25">
      <c r="A46" s="5">
        <v>35</v>
      </c>
      <c r="B46" s="13"/>
      <c r="C46" s="13"/>
      <c r="D46" s="13"/>
      <c r="E46" s="13"/>
      <c r="F46" s="13"/>
      <c r="G46" s="13"/>
      <c r="H46" s="13"/>
      <c r="I46" s="13"/>
      <c r="J46" s="14"/>
      <c r="K46" s="13"/>
      <c r="L46" s="13"/>
      <c r="M46" s="13"/>
      <c r="N46" s="13"/>
      <c r="O46" s="13"/>
      <c r="P46" s="13"/>
      <c r="Q46" s="32"/>
      <c r="R46" s="32"/>
    </row>
    <row r="47" spans="1:18" ht="42" customHeight="1" x14ac:dyDescent="0.25">
      <c r="A47" s="5">
        <v>36</v>
      </c>
      <c r="B47" s="13"/>
      <c r="C47" s="13"/>
      <c r="D47" s="13"/>
      <c r="E47" s="13"/>
      <c r="F47" s="13"/>
      <c r="G47" s="13"/>
      <c r="H47" s="13"/>
      <c r="I47" s="13"/>
      <c r="J47" s="14"/>
      <c r="K47" s="13"/>
      <c r="L47" s="13"/>
      <c r="M47" s="13"/>
      <c r="N47" s="13"/>
      <c r="O47" s="13"/>
      <c r="P47" s="13"/>
      <c r="Q47" s="32"/>
      <c r="R47" s="32"/>
    </row>
    <row r="48" spans="1:18" ht="42" customHeight="1" x14ac:dyDescent="0.25">
      <c r="A48" s="5">
        <v>37</v>
      </c>
      <c r="B48" s="13"/>
      <c r="C48" s="13"/>
      <c r="D48" s="13"/>
      <c r="E48" s="13"/>
      <c r="F48" s="13"/>
      <c r="G48" s="13"/>
      <c r="H48" s="13"/>
      <c r="I48" s="13"/>
      <c r="J48" s="14"/>
      <c r="K48" s="13"/>
      <c r="L48" s="13"/>
      <c r="M48" s="13"/>
      <c r="N48" s="13"/>
      <c r="O48" s="13"/>
      <c r="P48" s="13"/>
      <c r="Q48" s="32"/>
      <c r="R48" s="32"/>
    </row>
    <row r="49" spans="1:18" ht="42" customHeight="1" x14ac:dyDescent="0.25">
      <c r="A49" s="5">
        <v>38</v>
      </c>
      <c r="B49" s="13"/>
      <c r="C49" s="13"/>
      <c r="D49" s="13"/>
      <c r="E49" s="13"/>
      <c r="F49" s="13"/>
      <c r="G49" s="13"/>
      <c r="H49" s="13"/>
      <c r="I49" s="13"/>
      <c r="J49" s="14"/>
      <c r="K49" s="13"/>
      <c r="L49" s="13"/>
      <c r="M49" s="13"/>
      <c r="N49" s="13"/>
      <c r="O49" s="13"/>
      <c r="P49" s="13"/>
      <c r="Q49" s="32"/>
      <c r="R49" s="32"/>
    </row>
    <row r="50" spans="1:18" ht="42" customHeight="1" x14ac:dyDescent="0.25">
      <c r="A50" s="5">
        <v>39</v>
      </c>
      <c r="B50" s="13"/>
      <c r="C50" s="13"/>
      <c r="D50" s="13"/>
      <c r="E50" s="13"/>
      <c r="F50" s="13"/>
      <c r="G50" s="13"/>
      <c r="H50" s="13"/>
      <c r="I50" s="13"/>
      <c r="J50" s="14"/>
      <c r="K50" s="13"/>
      <c r="L50" s="13"/>
      <c r="M50" s="13"/>
      <c r="N50" s="13"/>
      <c r="O50" s="13"/>
      <c r="P50" s="13"/>
      <c r="Q50" s="32"/>
      <c r="R50" s="32"/>
    </row>
    <row r="51" spans="1:18" ht="42" customHeight="1" x14ac:dyDescent="0.25">
      <c r="A51" s="5">
        <v>40</v>
      </c>
      <c r="B51" s="13"/>
      <c r="C51" s="13"/>
      <c r="D51" s="13"/>
      <c r="E51" s="13"/>
      <c r="F51" s="13"/>
      <c r="G51" s="13"/>
      <c r="H51" s="13"/>
      <c r="I51" s="13"/>
      <c r="J51" s="14"/>
      <c r="K51" s="13"/>
      <c r="L51" s="13"/>
      <c r="M51" s="13"/>
      <c r="N51" s="13"/>
      <c r="O51" s="13"/>
      <c r="P51" s="13"/>
      <c r="Q51" s="32"/>
      <c r="R51" s="32"/>
    </row>
    <row r="52" spans="1:18" ht="42" customHeight="1" x14ac:dyDescent="0.25">
      <c r="A52" s="5">
        <v>41</v>
      </c>
      <c r="B52" s="13"/>
      <c r="C52" s="13"/>
      <c r="D52" s="13"/>
      <c r="E52" s="13"/>
      <c r="F52" s="13"/>
      <c r="G52" s="13"/>
      <c r="H52" s="13"/>
      <c r="I52" s="13"/>
      <c r="J52" s="14"/>
      <c r="K52" s="13"/>
      <c r="L52" s="13"/>
      <c r="M52" s="13"/>
      <c r="N52" s="13"/>
      <c r="O52" s="13"/>
      <c r="P52" s="13"/>
      <c r="Q52" s="32"/>
      <c r="R52" s="32"/>
    </row>
    <row r="53" spans="1:18" ht="42" customHeight="1" x14ac:dyDescent="0.25">
      <c r="A53" s="5">
        <v>42</v>
      </c>
      <c r="B53" s="13"/>
      <c r="C53" s="13"/>
      <c r="D53" s="13"/>
      <c r="E53" s="13"/>
      <c r="F53" s="13"/>
      <c r="G53" s="13"/>
      <c r="H53" s="13"/>
      <c r="I53" s="13"/>
      <c r="J53" s="14"/>
      <c r="K53" s="13"/>
      <c r="L53" s="13"/>
      <c r="M53" s="13"/>
      <c r="N53" s="13"/>
      <c r="O53" s="13"/>
      <c r="P53" s="13"/>
      <c r="Q53" s="32"/>
      <c r="R53" s="32"/>
    </row>
    <row r="54" spans="1:18" ht="42" customHeight="1" x14ac:dyDescent="0.25">
      <c r="A54" s="5">
        <v>43</v>
      </c>
      <c r="B54" s="13"/>
      <c r="C54" s="13"/>
      <c r="D54" s="13"/>
      <c r="E54" s="13"/>
      <c r="F54" s="13"/>
      <c r="G54" s="13"/>
      <c r="H54" s="13"/>
      <c r="I54" s="13"/>
      <c r="J54" s="14"/>
      <c r="K54" s="13"/>
      <c r="L54" s="13"/>
      <c r="M54" s="13"/>
      <c r="N54" s="13"/>
      <c r="O54" s="13"/>
      <c r="P54" s="13"/>
      <c r="Q54" s="32"/>
      <c r="R54" s="32"/>
    </row>
    <row r="55" spans="1:18" ht="42" customHeight="1" x14ac:dyDescent="0.25">
      <c r="A55" s="5">
        <v>44</v>
      </c>
      <c r="B55" s="13"/>
      <c r="C55" s="13"/>
      <c r="D55" s="13"/>
      <c r="E55" s="13"/>
      <c r="F55" s="13"/>
      <c r="G55" s="13"/>
      <c r="H55" s="13"/>
      <c r="I55" s="13"/>
      <c r="J55" s="14"/>
      <c r="K55" s="13"/>
      <c r="L55" s="13"/>
      <c r="M55" s="13"/>
      <c r="N55" s="13"/>
      <c r="O55" s="13"/>
      <c r="P55" s="13"/>
      <c r="Q55" s="32"/>
      <c r="R55" s="32"/>
    </row>
    <row r="56" spans="1:18" ht="42" customHeight="1" x14ac:dyDescent="0.25">
      <c r="A56" s="5">
        <v>45</v>
      </c>
      <c r="B56" s="13"/>
      <c r="C56" s="13"/>
      <c r="D56" s="13"/>
      <c r="E56" s="13"/>
      <c r="F56" s="13"/>
      <c r="G56" s="13"/>
      <c r="H56" s="13"/>
      <c r="I56" s="13"/>
      <c r="J56" s="14"/>
      <c r="K56" s="13"/>
      <c r="L56" s="13"/>
      <c r="M56" s="13"/>
      <c r="N56" s="13"/>
      <c r="O56" s="13"/>
      <c r="P56" s="13"/>
      <c r="Q56" s="32"/>
      <c r="R56" s="32"/>
    </row>
    <row r="57" spans="1:18" ht="42" customHeight="1" x14ac:dyDescent="0.25">
      <c r="A57" s="5">
        <v>46</v>
      </c>
      <c r="B57" s="13"/>
      <c r="C57" s="13"/>
      <c r="D57" s="13"/>
      <c r="E57" s="13"/>
      <c r="F57" s="13"/>
      <c r="G57" s="13"/>
      <c r="H57" s="13"/>
      <c r="I57" s="13"/>
      <c r="J57" s="14"/>
      <c r="K57" s="13"/>
      <c r="L57" s="13"/>
      <c r="M57" s="13"/>
      <c r="N57" s="13"/>
      <c r="O57" s="13"/>
      <c r="P57" s="13"/>
      <c r="Q57" s="32"/>
      <c r="R57" s="32"/>
    </row>
    <row r="58" spans="1:18" ht="42" customHeight="1" x14ac:dyDescent="0.25">
      <c r="A58" s="5">
        <v>47</v>
      </c>
      <c r="B58" s="13"/>
      <c r="C58" s="13"/>
      <c r="D58" s="13"/>
      <c r="E58" s="13"/>
      <c r="F58" s="13"/>
      <c r="G58" s="13"/>
      <c r="H58" s="13"/>
      <c r="I58" s="13"/>
      <c r="J58" s="14"/>
      <c r="K58" s="13"/>
      <c r="L58" s="13"/>
      <c r="M58" s="13"/>
      <c r="N58" s="13"/>
      <c r="O58" s="13"/>
      <c r="P58" s="13"/>
      <c r="Q58" s="32"/>
      <c r="R58" s="32"/>
    </row>
    <row r="59" spans="1:18" ht="42" customHeight="1" x14ac:dyDescent="0.25">
      <c r="A59" s="5">
        <v>48</v>
      </c>
      <c r="B59" s="13"/>
      <c r="C59" s="13"/>
      <c r="D59" s="13"/>
      <c r="E59" s="13"/>
      <c r="F59" s="13"/>
      <c r="G59" s="13"/>
      <c r="H59" s="13"/>
      <c r="I59" s="13"/>
      <c r="J59" s="14"/>
      <c r="K59" s="13"/>
      <c r="L59" s="13"/>
      <c r="M59" s="13"/>
      <c r="N59" s="13"/>
      <c r="O59" s="13"/>
      <c r="P59" s="13"/>
      <c r="Q59" s="32"/>
      <c r="R59" s="32"/>
    </row>
    <row r="60" spans="1:18" ht="42" customHeight="1" x14ac:dyDescent="0.25">
      <c r="A60" s="5">
        <v>49</v>
      </c>
      <c r="B60" s="13"/>
      <c r="C60" s="13"/>
      <c r="D60" s="13"/>
      <c r="E60" s="13"/>
      <c r="F60" s="13"/>
      <c r="G60" s="13"/>
      <c r="H60" s="13"/>
      <c r="I60" s="13"/>
      <c r="J60" s="14"/>
      <c r="K60" s="13"/>
      <c r="L60" s="13"/>
      <c r="M60" s="13"/>
      <c r="N60" s="13"/>
      <c r="O60" s="13"/>
      <c r="P60" s="13"/>
      <c r="Q60" s="32"/>
      <c r="R60" s="32"/>
    </row>
    <row r="61" spans="1:18" ht="42" customHeight="1" x14ac:dyDescent="0.25">
      <c r="A61" s="5">
        <v>50</v>
      </c>
      <c r="B61" s="13"/>
      <c r="C61" s="13"/>
      <c r="D61" s="13"/>
      <c r="E61" s="13"/>
      <c r="F61" s="13"/>
      <c r="G61" s="13"/>
      <c r="H61" s="13"/>
      <c r="I61" s="13"/>
      <c r="J61" s="14"/>
      <c r="K61" s="13"/>
      <c r="L61" s="13"/>
      <c r="M61" s="13"/>
      <c r="N61" s="13"/>
      <c r="O61" s="13"/>
      <c r="P61" s="13"/>
      <c r="Q61" s="32"/>
      <c r="R61" s="32"/>
    </row>
    <row r="62" spans="1:18" ht="42" customHeight="1" x14ac:dyDescent="0.25">
      <c r="A62" s="5">
        <v>51</v>
      </c>
      <c r="B62" s="13"/>
      <c r="C62" s="13"/>
      <c r="D62" s="13"/>
      <c r="E62" s="13"/>
      <c r="F62" s="13"/>
      <c r="G62" s="13"/>
      <c r="H62" s="13"/>
      <c r="I62" s="13"/>
      <c r="J62" s="14"/>
      <c r="K62" s="13"/>
      <c r="L62" s="13"/>
      <c r="M62" s="13"/>
      <c r="N62" s="13"/>
      <c r="O62" s="13"/>
      <c r="P62" s="13"/>
      <c r="Q62" s="32"/>
      <c r="R62" s="32"/>
    </row>
    <row r="63" spans="1:18" ht="42" customHeight="1" x14ac:dyDescent="0.25">
      <c r="A63" s="5">
        <v>52</v>
      </c>
      <c r="B63" s="13"/>
      <c r="C63" s="13"/>
      <c r="D63" s="13"/>
      <c r="E63" s="13"/>
      <c r="F63" s="13"/>
      <c r="G63" s="13"/>
      <c r="H63" s="13"/>
      <c r="I63" s="13"/>
      <c r="J63" s="14"/>
      <c r="K63" s="13"/>
      <c r="L63" s="13"/>
      <c r="M63" s="13"/>
      <c r="N63" s="13"/>
      <c r="O63" s="13"/>
      <c r="P63" s="13"/>
      <c r="Q63" s="32"/>
      <c r="R63" s="32"/>
    </row>
    <row r="64" spans="1:18" ht="42" customHeight="1" x14ac:dyDescent="0.25">
      <c r="A64" s="5">
        <v>53</v>
      </c>
      <c r="B64" s="13"/>
      <c r="C64" s="13"/>
      <c r="D64" s="13"/>
      <c r="E64" s="13"/>
      <c r="F64" s="13"/>
      <c r="G64" s="13"/>
      <c r="H64" s="13"/>
      <c r="I64" s="13"/>
      <c r="J64" s="14"/>
      <c r="K64" s="13"/>
      <c r="L64" s="13"/>
      <c r="M64" s="13"/>
      <c r="N64" s="13"/>
      <c r="O64" s="13"/>
      <c r="P64" s="13"/>
      <c r="Q64" s="32"/>
      <c r="R64" s="32"/>
    </row>
    <row r="65" spans="1:18" ht="42" customHeight="1" x14ac:dyDescent="0.25">
      <c r="A65" s="5">
        <v>54</v>
      </c>
      <c r="B65" s="13"/>
      <c r="C65" s="13"/>
      <c r="D65" s="13"/>
      <c r="E65" s="13"/>
      <c r="F65" s="13"/>
      <c r="G65" s="13"/>
      <c r="H65" s="13"/>
      <c r="I65" s="13"/>
      <c r="J65" s="14"/>
      <c r="K65" s="13"/>
      <c r="L65" s="13"/>
      <c r="M65" s="13"/>
      <c r="N65" s="13"/>
      <c r="O65" s="13"/>
      <c r="P65" s="13"/>
      <c r="Q65" s="32"/>
      <c r="R65" s="32"/>
    </row>
    <row r="66" spans="1:18" ht="42" customHeight="1" x14ac:dyDescent="0.25">
      <c r="A66" s="5">
        <v>55</v>
      </c>
      <c r="B66" s="13"/>
      <c r="C66" s="13"/>
      <c r="D66" s="13"/>
      <c r="E66" s="13"/>
      <c r="F66" s="13"/>
      <c r="G66" s="13"/>
      <c r="H66" s="13"/>
      <c r="I66" s="13"/>
      <c r="J66" s="14"/>
      <c r="K66" s="13"/>
      <c r="L66" s="13"/>
      <c r="M66" s="13"/>
      <c r="N66" s="13"/>
      <c r="O66" s="13"/>
      <c r="P66" s="13"/>
      <c r="Q66" s="32"/>
      <c r="R66" s="32"/>
    </row>
    <row r="67" spans="1:18" ht="42" customHeight="1" x14ac:dyDescent="0.25">
      <c r="A67" s="5">
        <v>56</v>
      </c>
      <c r="B67" s="13"/>
      <c r="C67" s="13"/>
      <c r="D67" s="13"/>
      <c r="E67" s="13"/>
      <c r="F67" s="13"/>
      <c r="G67" s="13"/>
      <c r="H67" s="13"/>
      <c r="I67" s="13"/>
      <c r="J67" s="14"/>
      <c r="K67" s="13"/>
      <c r="L67" s="13"/>
      <c r="M67" s="13"/>
      <c r="N67" s="13"/>
      <c r="O67" s="13"/>
      <c r="P67" s="13"/>
      <c r="Q67" s="32"/>
      <c r="R67" s="32"/>
    </row>
    <row r="68" spans="1:18" ht="42" customHeight="1" x14ac:dyDescent="0.25">
      <c r="A68" s="5">
        <v>57</v>
      </c>
      <c r="B68" s="13"/>
      <c r="C68" s="13"/>
      <c r="D68" s="13"/>
      <c r="E68" s="13"/>
      <c r="F68" s="13"/>
      <c r="G68" s="13"/>
      <c r="H68" s="13"/>
      <c r="I68" s="13"/>
      <c r="J68" s="14"/>
      <c r="K68" s="13"/>
      <c r="L68" s="13"/>
      <c r="M68" s="13"/>
      <c r="N68" s="13"/>
      <c r="O68" s="13"/>
      <c r="P68" s="13"/>
      <c r="Q68" s="32"/>
      <c r="R68" s="32"/>
    </row>
    <row r="69" spans="1:18" ht="42" customHeight="1" x14ac:dyDescent="0.25">
      <c r="A69" s="5">
        <v>58</v>
      </c>
      <c r="B69" s="13"/>
      <c r="C69" s="13"/>
      <c r="D69" s="13"/>
      <c r="E69" s="13"/>
      <c r="F69" s="13"/>
      <c r="G69" s="13"/>
      <c r="H69" s="13"/>
      <c r="I69" s="13"/>
      <c r="J69" s="14"/>
      <c r="K69" s="13"/>
      <c r="L69" s="13"/>
      <c r="M69" s="13"/>
      <c r="N69" s="13"/>
      <c r="O69" s="13"/>
      <c r="P69" s="13"/>
      <c r="Q69" s="32"/>
      <c r="R69" s="32"/>
    </row>
    <row r="70" spans="1:18" ht="42" customHeight="1" x14ac:dyDescent="0.25">
      <c r="A70" s="5">
        <v>59</v>
      </c>
      <c r="B70" s="13"/>
      <c r="C70" s="13"/>
      <c r="D70" s="13"/>
      <c r="E70" s="13"/>
      <c r="F70" s="13"/>
      <c r="G70" s="13"/>
      <c r="H70" s="13"/>
      <c r="I70" s="13"/>
      <c r="J70" s="14"/>
      <c r="K70" s="13"/>
      <c r="L70" s="13"/>
      <c r="M70" s="13"/>
      <c r="N70" s="13"/>
      <c r="O70" s="13"/>
      <c r="P70" s="13"/>
      <c r="Q70" s="32"/>
      <c r="R70" s="32"/>
    </row>
    <row r="71" spans="1:18" ht="42" customHeight="1" x14ac:dyDescent="0.25">
      <c r="A71" s="5">
        <v>60</v>
      </c>
      <c r="B71" s="13"/>
      <c r="C71" s="13"/>
      <c r="D71" s="13"/>
      <c r="E71" s="13"/>
      <c r="F71" s="13"/>
      <c r="G71" s="13"/>
      <c r="H71" s="13"/>
      <c r="I71" s="13"/>
      <c r="J71" s="14"/>
      <c r="K71" s="13"/>
      <c r="L71" s="13"/>
      <c r="M71" s="13"/>
      <c r="N71" s="13"/>
      <c r="O71" s="13"/>
      <c r="P71" s="13"/>
      <c r="Q71" s="32"/>
      <c r="R71" s="32"/>
    </row>
    <row r="72" spans="1:18" ht="42" customHeight="1" x14ac:dyDescent="0.25">
      <c r="A72" s="5">
        <v>61</v>
      </c>
      <c r="B72" s="13"/>
      <c r="C72" s="13"/>
      <c r="D72" s="13"/>
      <c r="E72" s="13"/>
      <c r="F72" s="13"/>
      <c r="G72" s="13"/>
      <c r="H72" s="13"/>
      <c r="I72" s="13"/>
      <c r="J72" s="14"/>
      <c r="K72" s="13"/>
      <c r="L72" s="13"/>
      <c r="M72" s="13"/>
      <c r="N72" s="13"/>
      <c r="O72" s="13"/>
      <c r="P72" s="13"/>
      <c r="Q72" s="32"/>
      <c r="R72" s="32"/>
    </row>
    <row r="73" spans="1:18" ht="42" customHeight="1" x14ac:dyDescent="0.25">
      <c r="A73" s="5">
        <v>62</v>
      </c>
      <c r="B73" s="13"/>
      <c r="C73" s="13"/>
      <c r="D73" s="13"/>
      <c r="E73" s="13"/>
      <c r="F73" s="13"/>
      <c r="G73" s="13"/>
      <c r="H73" s="13"/>
      <c r="I73" s="13"/>
      <c r="J73" s="14"/>
      <c r="K73" s="13"/>
      <c r="L73" s="13"/>
      <c r="M73" s="13"/>
      <c r="N73" s="13"/>
      <c r="O73" s="13"/>
      <c r="P73" s="13"/>
      <c r="Q73" s="32"/>
      <c r="R73" s="32"/>
    </row>
    <row r="74" spans="1:18" ht="42" customHeight="1" x14ac:dyDescent="0.25">
      <c r="A74" s="5">
        <v>63</v>
      </c>
      <c r="B74" s="13"/>
      <c r="C74" s="13"/>
      <c r="D74" s="13"/>
      <c r="E74" s="13"/>
      <c r="F74" s="13"/>
      <c r="G74" s="13"/>
      <c r="H74" s="13"/>
      <c r="I74" s="13"/>
      <c r="J74" s="14"/>
      <c r="K74" s="13"/>
      <c r="L74" s="13"/>
      <c r="M74" s="13"/>
      <c r="N74" s="13"/>
      <c r="O74" s="13"/>
      <c r="P74" s="13"/>
      <c r="Q74" s="32"/>
      <c r="R74" s="32"/>
    </row>
    <row r="75" spans="1:18" ht="42" customHeight="1" x14ac:dyDescent="0.25">
      <c r="A75" s="5">
        <v>64</v>
      </c>
      <c r="B75" s="13"/>
      <c r="C75" s="13"/>
      <c r="D75" s="13"/>
      <c r="E75" s="13"/>
      <c r="F75" s="13"/>
      <c r="G75" s="13"/>
      <c r="H75" s="13"/>
      <c r="I75" s="13"/>
      <c r="J75" s="14"/>
      <c r="K75" s="13"/>
      <c r="L75" s="13"/>
      <c r="M75" s="13"/>
      <c r="N75" s="13"/>
      <c r="O75" s="13"/>
      <c r="P75" s="13"/>
      <c r="Q75" s="32"/>
      <c r="R75" s="32"/>
    </row>
    <row r="76" spans="1:18" ht="42" customHeight="1" x14ac:dyDescent="0.25">
      <c r="A76" s="5">
        <v>65</v>
      </c>
      <c r="B76" s="13"/>
      <c r="C76" s="13"/>
      <c r="D76" s="13"/>
      <c r="E76" s="13"/>
      <c r="F76" s="13"/>
      <c r="G76" s="13"/>
      <c r="H76" s="13"/>
      <c r="I76" s="13"/>
      <c r="J76" s="14"/>
      <c r="K76" s="13"/>
      <c r="L76" s="13"/>
      <c r="M76" s="13"/>
      <c r="N76" s="13"/>
      <c r="O76" s="13"/>
      <c r="P76" s="13"/>
      <c r="Q76" s="32"/>
      <c r="R76" s="32"/>
    </row>
    <row r="77" spans="1:18" ht="42" customHeight="1" x14ac:dyDescent="0.25">
      <c r="A77" s="5">
        <v>66</v>
      </c>
      <c r="B77" s="13"/>
      <c r="C77" s="13"/>
      <c r="D77" s="13"/>
      <c r="E77" s="13"/>
      <c r="F77" s="13"/>
      <c r="G77" s="13"/>
      <c r="H77" s="13"/>
      <c r="I77" s="13"/>
      <c r="J77" s="14"/>
      <c r="K77" s="13"/>
      <c r="L77" s="13"/>
      <c r="M77" s="13"/>
      <c r="N77" s="13"/>
      <c r="O77" s="13"/>
      <c r="P77" s="13"/>
      <c r="Q77" s="32"/>
      <c r="R77" s="32"/>
    </row>
    <row r="78" spans="1:18" ht="42" customHeight="1" x14ac:dyDescent="0.25">
      <c r="A78" s="5">
        <v>67</v>
      </c>
      <c r="B78" s="13"/>
      <c r="C78" s="13"/>
      <c r="D78" s="13"/>
      <c r="E78" s="13"/>
      <c r="F78" s="13"/>
      <c r="G78" s="13"/>
      <c r="H78" s="13"/>
      <c r="I78" s="13"/>
      <c r="J78" s="14"/>
      <c r="K78" s="13"/>
      <c r="L78" s="13"/>
      <c r="M78" s="13"/>
      <c r="N78" s="13"/>
      <c r="O78" s="13"/>
      <c r="P78" s="13"/>
      <c r="Q78" s="32"/>
      <c r="R78" s="32"/>
    </row>
    <row r="79" spans="1:18" ht="42" customHeight="1" x14ac:dyDescent="0.25">
      <c r="A79" s="5">
        <v>68</v>
      </c>
      <c r="B79" s="13"/>
      <c r="C79" s="13"/>
      <c r="D79" s="13"/>
      <c r="E79" s="13"/>
      <c r="F79" s="13"/>
      <c r="G79" s="13"/>
      <c r="H79" s="13"/>
      <c r="I79" s="13"/>
      <c r="J79" s="14"/>
      <c r="K79" s="13"/>
      <c r="L79" s="13"/>
      <c r="M79" s="13"/>
      <c r="N79" s="13"/>
      <c r="O79" s="13"/>
      <c r="P79" s="13"/>
      <c r="Q79" s="32"/>
      <c r="R79" s="32"/>
    </row>
    <row r="80" spans="1:18" ht="42" customHeight="1" x14ac:dyDescent="0.25">
      <c r="A80" s="5">
        <v>69</v>
      </c>
      <c r="B80" s="13"/>
      <c r="C80" s="13"/>
      <c r="D80" s="13"/>
      <c r="E80" s="13"/>
      <c r="F80" s="13"/>
      <c r="G80" s="13"/>
      <c r="H80" s="13"/>
      <c r="I80" s="13"/>
      <c r="J80" s="14"/>
      <c r="K80" s="13"/>
      <c r="L80" s="13"/>
      <c r="M80" s="13"/>
      <c r="N80" s="13"/>
      <c r="O80" s="13"/>
      <c r="P80" s="13"/>
      <c r="Q80" s="32"/>
      <c r="R80" s="32"/>
    </row>
    <row r="81" spans="1:18" ht="42" customHeight="1" x14ac:dyDescent="0.25">
      <c r="A81" s="5">
        <v>70</v>
      </c>
      <c r="B81" s="13"/>
      <c r="C81" s="13"/>
      <c r="D81" s="13"/>
      <c r="E81" s="13"/>
      <c r="F81" s="13"/>
      <c r="G81" s="13"/>
      <c r="H81" s="13"/>
      <c r="I81" s="13"/>
      <c r="J81" s="14"/>
      <c r="K81" s="13"/>
      <c r="L81" s="13"/>
      <c r="M81" s="13"/>
      <c r="N81" s="13"/>
      <c r="O81" s="13"/>
      <c r="P81" s="13"/>
      <c r="Q81" s="32"/>
      <c r="R81" s="32"/>
    </row>
    <row r="82" spans="1:18" ht="42" customHeight="1" x14ac:dyDescent="0.25">
      <c r="A82" s="5">
        <v>71</v>
      </c>
      <c r="B82" s="13"/>
      <c r="C82" s="13"/>
      <c r="D82" s="13"/>
      <c r="E82" s="13"/>
      <c r="F82" s="13"/>
      <c r="G82" s="13"/>
      <c r="H82" s="13"/>
      <c r="I82" s="13"/>
      <c r="J82" s="14"/>
      <c r="K82" s="13"/>
      <c r="L82" s="13"/>
      <c r="M82" s="13"/>
      <c r="N82" s="13"/>
      <c r="O82" s="13"/>
      <c r="P82" s="13"/>
      <c r="Q82" s="32"/>
      <c r="R82" s="32"/>
    </row>
    <row r="83" spans="1:18" ht="42" customHeight="1" x14ac:dyDescent="0.25">
      <c r="A83" s="5">
        <v>72</v>
      </c>
      <c r="B83" s="13"/>
      <c r="C83" s="13"/>
      <c r="D83" s="13"/>
      <c r="E83" s="13"/>
      <c r="F83" s="13"/>
      <c r="G83" s="13"/>
      <c r="H83" s="13"/>
      <c r="I83" s="13"/>
      <c r="J83" s="14"/>
      <c r="K83" s="13"/>
      <c r="L83" s="13"/>
      <c r="M83" s="13"/>
      <c r="N83" s="13"/>
      <c r="O83" s="13"/>
      <c r="P83" s="13"/>
      <c r="Q83" s="32"/>
      <c r="R83" s="32"/>
    </row>
    <row r="84" spans="1:18" ht="42" customHeight="1" x14ac:dyDescent="0.25">
      <c r="A84" s="5">
        <v>73</v>
      </c>
      <c r="B84" s="13"/>
      <c r="C84" s="13"/>
      <c r="D84" s="13"/>
      <c r="E84" s="13"/>
      <c r="F84" s="13"/>
      <c r="G84" s="13"/>
      <c r="H84" s="13"/>
      <c r="I84" s="13"/>
      <c r="J84" s="14"/>
      <c r="K84" s="13"/>
      <c r="L84" s="13"/>
      <c r="M84" s="13"/>
      <c r="N84" s="13"/>
      <c r="O84" s="13"/>
      <c r="P84" s="13"/>
      <c r="Q84" s="32"/>
      <c r="R84" s="32"/>
    </row>
    <row r="85" spans="1:18" ht="42" customHeight="1" x14ac:dyDescent="0.25">
      <c r="A85" s="5">
        <v>74</v>
      </c>
      <c r="B85" s="13"/>
      <c r="C85" s="13"/>
      <c r="D85" s="13"/>
      <c r="E85" s="13"/>
      <c r="F85" s="13"/>
      <c r="G85" s="13"/>
      <c r="H85" s="13"/>
      <c r="I85" s="13"/>
      <c r="J85" s="14"/>
      <c r="K85" s="13"/>
      <c r="L85" s="13"/>
      <c r="M85" s="13"/>
      <c r="N85" s="13"/>
      <c r="O85" s="13"/>
      <c r="P85" s="13"/>
      <c r="Q85" s="32"/>
      <c r="R85" s="32"/>
    </row>
    <row r="86" spans="1:18" ht="42" customHeight="1" x14ac:dyDescent="0.25">
      <c r="A86" s="5">
        <v>75</v>
      </c>
      <c r="B86" s="13"/>
      <c r="C86" s="13"/>
      <c r="D86" s="13"/>
      <c r="E86" s="13"/>
      <c r="F86" s="13"/>
      <c r="G86" s="13"/>
      <c r="H86" s="13"/>
      <c r="I86" s="13"/>
      <c r="J86" s="14"/>
      <c r="K86" s="13"/>
      <c r="L86" s="13"/>
      <c r="M86" s="13"/>
      <c r="N86" s="13"/>
      <c r="O86" s="13"/>
      <c r="P86" s="13"/>
      <c r="Q86" s="32"/>
      <c r="R86" s="32"/>
    </row>
    <row r="87" spans="1:18" ht="42" customHeight="1" x14ac:dyDescent="0.25">
      <c r="A87" s="5">
        <v>76</v>
      </c>
      <c r="B87" s="13"/>
      <c r="C87" s="13"/>
      <c r="D87" s="13"/>
      <c r="E87" s="13"/>
      <c r="F87" s="13"/>
      <c r="G87" s="13"/>
      <c r="H87" s="13"/>
      <c r="I87" s="13"/>
      <c r="J87" s="14"/>
      <c r="K87" s="13"/>
      <c r="L87" s="13"/>
      <c r="M87" s="13"/>
      <c r="N87" s="13"/>
      <c r="O87" s="13"/>
      <c r="P87" s="13"/>
      <c r="Q87" s="32"/>
      <c r="R87" s="32"/>
    </row>
    <row r="88" spans="1:18" ht="42" customHeight="1" x14ac:dyDescent="0.25">
      <c r="A88" s="5">
        <v>77</v>
      </c>
      <c r="B88" s="13"/>
      <c r="C88" s="13"/>
      <c r="D88" s="13"/>
      <c r="E88" s="13"/>
      <c r="F88" s="13"/>
      <c r="G88" s="13"/>
      <c r="H88" s="13"/>
      <c r="I88" s="13"/>
      <c r="J88" s="14"/>
      <c r="K88" s="13"/>
      <c r="L88" s="13"/>
      <c r="M88" s="13"/>
      <c r="N88" s="13"/>
      <c r="O88" s="13"/>
      <c r="P88" s="13"/>
      <c r="Q88" s="32"/>
      <c r="R88" s="32"/>
    </row>
    <row r="89" spans="1:18" ht="42" customHeight="1" x14ac:dyDescent="0.25">
      <c r="A89" s="5">
        <v>78</v>
      </c>
      <c r="B89" s="13"/>
      <c r="C89" s="13"/>
      <c r="D89" s="13"/>
      <c r="E89" s="13"/>
      <c r="F89" s="13"/>
      <c r="G89" s="13"/>
      <c r="H89" s="13"/>
      <c r="I89" s="13"/>
      <c r="J89" s="14"/>
      <c r="K89" s="13"/>
      <c r="L89" s="13"/>
      <c r="M89" s="13"/>
      <c r="N89" s="13"/>
      <c r="O89" s="13"/>
      <c r="P89" s="13"/>
      <c r="Q89" s="32"/>
      <c r="R89" s="32"/>
    </row>
    <row r="90" spans="1:18" ht="42" customHeight="1" x14ac:dyDescent="0.25">
      <c r="A90" s="5">
        <v>79</v>
      </c>
      <c r="B90" s="13"/>
      <c r="C90" s="13"/>
      <c r="D90" s="13"/>
      <c r="E90" s="13"/>
      <c r="F90" s="13"/>
      <c r="G90" s="13"/>
      <c r="H90" s="13"/>
      <c r="I90" s="13"/>
      <c r="J90" s="14"/>
      <c r="K90" s="13"/>
      <c r="L90" s="13"/>
      <c r="M90" s="13"/>
      <c r="N90" s="13"/>
      <c r="O90" s="13"/>
      <c r="P90" s="13"/>
      <c r="Q90" s="32"/>
      <c r="R90" s="32"/>
    </row>
    <row r="91" spans="1:18" ht="42" customHeight="1" x14ac:dyDescent="0.25">
      <c r="A91" s="5">
        <v>80</v>
      </c>
      <c r="B91" s="13"/>
      <c r="C91" s="13"/>
      <c r="D91" s="13"/>
      <c r="E91" s="13"/>
      <c r="F91" s="13"/>
      <c r="G91" s="13"/>
      <c r="H91" s="13"/>
      <c r="I91" s="13"/>
      <c r="J91" s="14"/>
      <c r="K91" s="13"/>
      <c r="L91" s="13"/>
      <c r="M91" s="13"/>
      <c r="N91" s="13"/>
      <c r="O91" s="13"/>
      <c r="P91" s="13"/>
      <c r="Q91" s="32"/>
      <c r="R91" s="32"/>
    </row>
    <row r="92" spans="1:18" ht="42" customHeight="1" x14ac:dyDescent="0.25">
      <c r="A92" s="5">
        <v>81</v>
      </c>
      <c r="B92" s="13"/>
      <c r="C92" s="13"/>
      <c r="D92" s="13"/>
      <c r="E92" s="13"/>
      <c r="F92" s="13"/>
      <c r="G92" s="13"/>
      <c r="H92" s="13"/>
      <c r="I92" s="13"/>
      <c r="J92" s="14"/>
      <c r="K92" s="13"/>
      <c r="L92" s="13"/>
      <c r="M92" s="13"/>
      <c r="N92" s="13"/>
      <c r="O92" s="13"/>
      <c r="P92" s="13"/>
      <c r="Q92" s="32"/>
      <c r="R92" s="32"/>
    </row>
    <row r="93" spans="1:18" ht="42" customHeight="1" x14ac:dyDescent="0.25">
      <c r="A93" s="5">
        <v>82</v>
      </c>
      <c r="B93" s="13"/>
      <c r="C93" s="13"/>
      <c r="D93" s="13"/>
      <c r="E93" s="13"/>
      <c r="F93" s="13"/>
      <c r="G93" s="13"/>
      <c r="H93" s="13"/>
      <c r="I93" s="13"/>
      <c r="J93" s="14"/>
      <c r="K93" s="13"/>
      <c r="L93" s="13"/>
      <c r="M93" s="13"/>
      <c r="N93" s="13"/>
      <c r="O93" s="13"/>
      <c r="P93" s="13"/>
      <c r="Q93" s="32"/>
      <c r="R93" s="32"/>
    </row>
    <row r="94" spans="1:18" ht="42" customHeight="1" x14ac:dyDescent="0.25">
      <c r="A94" s="5">
        <v>83</v>
      </c>
      <c r="B94" s="13"/>
      <c r="C94" s="13"/>
      <c r="D94" s="13"/>
      <c r="E94" s="13"/>
      <c r="F94" s="13"/>
      <c r="G94" s="13"/>
      <c r="H94" s="13"/>
      <c r="I94" s="13"/>
      <c r="J94" s="14"/>
      <c r="K94" s="13"/>
      <c r="L94" s="13"/>
      <c r="M94" s="13"/>
      <c r="N94" s="13"/>
      <c r="O94" s="13"/>
      <c r="P94" s="13"/>
      <c r="Q94" s="32"/>
      <c r="R94" s="32"/>
    </row>
    <row r="95" spans="1:18" ht="42" customHeight="1" x14ac:dyDescent="0.25">
      <c r="A95" s="5">
        <v>84</v>
      </c>
      <c r="B95" s="13"/>
      <c r="C95" s="13"/>
      <c r="D95" s="13"/>
      <c r="E95" s="13"/>
      <c r="F95" s="13"/>
      <c r="G95" s="13"/>
      <c r="H95" s="13"/>
      <c r="I95" s="13"/>
      <c r="J95" s="14"/>
      <c r="K95" s="13"/>
      <c r="L95" s="13"/>
      <c r="M95" s="13"/>
      <c r="N95" s="13"/>
      <c r="O95" s="13"/>
      <c r="P95" s="13"/>
      <c r="Q95" s="32"/>
      <c r="R95" s="32"/>
    </row>
    <row r="96" spans="1:18" ht="42" customHeight="1" x14ac:dyDescent="0.25">
      <c r="A96" s="5">
        <v>85</v>
      </c>
      <c r="B96" s="13"/>
      <c r="C96" s="13"/>
      <c r="D96" s="13"/>
      <c r="E96" s="13"/>
      <c r="F96" s="13"/>
      <c r="G96" s="13"/>
      <c r="H96" s="13"/>
      <c r="I96" s="13"/>
      <c r="J96" s="14"/>
      <c r="K96" s="13"/>
      <c r="L96" s="13"/>
      <c r="M96" s="13"/>
      <c r="N96" s="13"/>
      <c r="O96" s="13"/>
      <c r="P96" s="13"/>
      <c r="Q96" s="32"/>
      <c r="R96" s="32"/>
    </row>
    <row r="97" spans="1:18" ht="42" customHeight="1" x14ac:dyDescent="0.25">
      <c r="A97" s="5">
        <v>86</v>
      </c>
      <c r="B97" s="13"/>
      <c r="C97" s="13"/>
      <c r="D97" s="13"/>
      <c r="E97" s="13"/>
      <c r="F97" s="13"/>
      <c r="G97" s="13"/>
      <c r="H97" s="13"/>
      <c r="I97" s="13"/>
      <c r="J97" s="14"/>
      <c r="K97" s="13"/>
      <c r="L97" s="13"/>
      <c r="M97" s="13"/>
      <c r="N97" s="13"/>
      <c r="O97" s="13"/>
      <c r="P97" s="13"/>
      <c r="Q97" s="32"/>
      <c r="R97" s="32"/>
    </row>
    <row r="98" spans="1:18" ht="42" customHeight="1" x14ac:dyDescent="0.25">
      <c r="A98" s="5">
        <v>87</v>
      </c>
      <c r="B98" s="13"/>
      <c r="C98" s="13"/>
      <c r="D98" s="13"/>
      <c r="E98" s="13"/>
      <c r="F98" s="13"/>
      <c r="G98" s="13"/>
      <c r="H98" s="13"/>
      <c r="I98" s="13"/>
      <c r="J98" s="14"/>
      <c r="K98" s="13"/>
      <c r="L98" s="13"/>
      <c r="M98" s="13"/>
      <c r="N98" s="13"/>
      <c r="O98" s="13"/>
      <c r="P98" s="13"/>
      <c r="Q98" s="32"/>
      <c r="R98" s="32"/>
    </row>
    <row r="99" spans="1:18" ht="42" customHeight="1" x14ac:dyDescent="0.25">
      <c r="A99" s="5">
        <v>88</v>
      </c>
      <c r="B99" s="13"/>
      <c r="C99" s="13"/>
      <c r="D99" s="13"/>
      <c r="E99" s="13"/>
      <c r="F99" s="13"/>
      <c r="G99" s="13"/>
      <c r="H99" s="13"/>
      <c r="I99" s="13"/>
      <c r="J99" s="14"/>
      <c r="K99" s="13"/>
      <c r="L99" s="13"/>
      <c r="M99" s="13"/>
      <c r="N99" s="13"/>
      <c r="O99" s="13"/>
      <c r="P99" s="13"/>
      <c r="Q99" s="32"/>
      <c r="R99" s="32"/>
    </row>
    <row r="100" spans="1:18" ht="42" customHeight="1" x14ac:dyDescent="0.25">
      <c r="A100" s="5">
        <v>89</v>
      </c>
      <c r="B100" s="13"/>
      <c r="C100" s="13"/>
      <c r="D100" s="13"/>
      <c r="E100" s="13"/>
      <c r="F100" s="13"/>
      <c r="G100" s="13"/>
      <c r="H100" s="13"/>
      <c r="I100" s="13"/>
      <c r="J100" s="14"/>
      <c r="K100" s="13"/>
      <c r="L100" s="13"/>
      <c r="M100" s="13"/>
      <c r="N100" s="13"/>
      <c r="O100" s="13"/>
      <c r="P100" s="13"/>
      <c r="Q100" s="32"/>
      <c r="R100" s="32"/>
    </row>
    <row r="101" spans="1:18" ht="42" customHeight="1" x14ac:dyDescent="0.25">
      <c r="A101" s="5">
        <v>90</v>
      </c>
      <c r="B101" s="13"/>
      <c r="C101" s="13"/>
      <c r="D101" s="13"/>
      <c r="E101" s="13"/>
      <c r="F101" s="13"/>
      <c r="G101" s="13"/>
      <c r="H101" s="13"/>
      <c r="I101" s="13"/>
      <c r="J101" s="14"/>
      <c r="K101" s="13"/>
      <c r="L101" s="13"/>
      <c r="M101" s="13"/>
      <c r="N101" s="13"/>
      <c r="O101" s="13"/>
      <c r="P101" s="13"/>
      <c r="Q101" s="32"/>
      <c r="R101" s="32"/>
    </row>
    <row r="102" spans="1:18" ht="42" customHeight="1" x14ac:dyDescent="0.25">
      <c r="A102" s="5">
        <v>91</v>
      </c>
      <c r="B102" s="13"/>
      <c r="C102" s="13"/>
      <c r="D102" s="13"/>
      <c r="E102" s="13"/>
      <c r="F102" s="13"/>
      <c r="G102" s="13"/>
      <c r="H102" s="13"/>
      <c r="I102" s="13"/>
      <c r="J102" s="14"/>
      <c r="K102" s="13"/>
      <c r="L102" s="13"/>
      <c r="M102" s="13"/>
      <c r="N102" s="13"/>
      <c r="O102" s="13"/>
      <c r="P102" s="13"/>
      <c r="Q102" s="32"/>
      <c r="R102" s="32"/>
    </row>
    <row r="103" spans="1:18" ht="42" customHeight="1" x14ac:dyDescent="0.25">
      <c r="A103" s="5">
        <v>92</v>
      </c>
      <c r="B103" s="13"/>
      <c r="C103" s="13"/>
      <c r="D103" s="13"/>
      <c r="E103" s="13"/>
      <c r="F103" s="13"/>
      <c r="G103" s="13"/>
      <c r="H103" s="13"/>
      <c r="I103" s="13"/>
      <c r="J103" s="14"/>
      <c r="K103" s="13"/>
      <c r="L103" s="13"/>
      <c r="M103" s="13"/>
      <c r="N103" s="13"/>
      <c r="O103" s="13"/>
      <c r="P103" s="13"/>
      <c r="Q103" s="32"/>
      <c r="R103" s="32"/>
    </row>
    <row r="104" spans="1:18" ht="42" customHeight="1" x14ac:dyDescent="0.25">
      <c r="A104" s="5">
        <v>93</v>
      </c>
      <c r="B104" s="13"/>
      <c r="C104" s="13"/>
      <c r="D104" s="13"/>
      <c r="E104" s="13"/>
      <c r="F104" s="13"/>
      <c r="G104" s="13"/>
      <c r="H104" s="13"/>
      <c r="I104" s="13"/>
      <c r="J104" s="14"/>
      <c r="K104" s="13"/>
      <c r="L104" s="13"/>
      <c r="M104" s="13"/>
      <c r="N104" s="13"/>
      <c r="O104" s="13"/>
      <c r="P104" s="13"/>
      <c r="Q104" s="32"/>
      <c r="R104" s="32"/>
    </row>
    <row r="105" spans="1:18" ht="42" customHeight="1" x14ac:dyDescent="0.25">
      <c r="A105" s="5">
        <v>94</v>
      </c>
      <c r="B105" s="13"/>
      <c r="C105" s="13"/>
      <c r="D105" s="13"/>
      <c r="E105" s="13"/>
      <c r="F105" s="13"/>
      <c r="G105" s="13"/>
      <c r="H105" s="13"/>
      <c r="I105" s="13"/>
      <c r="J105" s="14"/>
      <c r="K105" s="13"/>
      <c r="L105" s="13"/>
      <c r="M105" s="13"/>
      <c r="N105" s="13"/>
      <c r="O105" s="13"/>
      <c r="P105" s="13"/>
      <c r="Q105" s="32"/>
      <c r="R105" s="32"/>
    </row>
    <row r="106" spans="1:18" ht="42" customHeight="1" x14ac:dyDescent="0.25">
      <c r="A106" s="5">
        <v>95</v>
      </c>
      <c r="B106" s="13"/>
      <c r="C106" s="13"/>
      <c r="D106" s="13"/>
      <c r="E106" s="13"/>
      <c r="F106" s="13"/>
      <c r="G106" s="13"/>
      <c r="H106" s="13"/>
      <c r="I106" s="13"/>
      <c r="J106" s="14"/>
      <c r="K106" s="13"/>
      <c r="L106" s="13"/>
      <c r="M106" s="13"/>
      <c r="N106" s="13"/>
      <c r="O106" s="13"/>
      <c r="P106" s="13"/>
      <c r="Q106" s="32"/>
      <c r="R106" s="32"/>
    </row>
    <row r="107" spans="1:18" ht="42" customHeight="1" x14ac:dyDescent="0.25">
      <c r="A107" s="5">
        <v>96</v>
      </c>
      <c r="B107" s="13"/>
      <c r="C107" s="13"/>
      <c r="D107" s="13"/>
      <c r="E107" s="13"/>
      <c r="F107" s="13"/>
      <c r="G107" s="13"/>
      <c r="H107" s="13"/>
      <c r="I107" s="13"/>
      <c r="J107" s="14"/>
      <c r="K107" s="13"/>
      <c r="L107" s="13"/>
      <c r="M107" s="13"/>
      <c r="N107" s="13"/>
      <c r="O107" s="13"/>
      <c r="P107" s="13"/>
      <c r="Q107" s="32"/>
      <c r="R107" s="32"/>
    </row>
    <row r="108" spans="1:18" ht="42" customHeight="1" x14ac:dyDescent="0.25">
      <c r="A108" s="5">
        <v>97</v>
      </c>
      <c r="B108" s="13"/>
      <c r="C108" s="13"/>
      <c r="D108" s="13"/>
      <c r="E108" s="13"/>
      <c r="F108" s="13"/>
      <c r="G108" s="13"/>
      <c r="H108" s="13"/>
      <c r="I108" s="13"/>
      <c r="J108" s="14"/>
      <c r="K108" s="13"/>
      <c r="L108" s="13"/>
      <c r="M108" s="13"/>
      <c r="N108" s="13"/>
      <c r="O108" s="13"/>
      <c r="P108" s="13"/>
      <c r="Q108" s="32"/>
      <c r="R108" s="32"/>
    </row>
    <row r="109" spans="1:18" ht="42" customHeight="1" x14ac:dyDescent="0.25">
      <c r="A109" s="5">
        <v>98</v>
      </c>
      <c r="B109" s="13"/>
      <c r="C109" s="13"/>
      <c r="D109" s="13"/>
      <c r="E109" s="13"/>
      <c r="F109" s="13"/>
      <c r="G109" s="13"/>
      <c r="H109" s="13"/>
      <c r="I109" s="13"/>
      <c r="J109" s="14"/>
      <c r="K109" s="13"/>
      <c r="L109" s="13"/>
      <c r="M109" s="13"/>
      <c r="N109" s="13"/>
      <c r="O109" s="13"/>
      <c r="P109" s="13"/>
      <c r="Q109" s="32"/>
      <c r="R109" s="32"/>
    </row>
    <row r="110" spans="1:18" ht="42" customHeight="1" x14ac:dyDescent="0.25">
      <c r="A110" s="5">
        <v>99</v>
      </c>
      <c r="B110" s="13"/>
      <c r="C110" s="13"/>
      <c r="D110" s="13"/>
      <c r="E110" s="13"/>
      <c r="F110" s="13"/>
      <c r="G110" s="13"/>
      <c r="H110" s="13"/>
      <c r="I110" s="13"/>
      <c r="J110" s="14"/>
      <c r="K110" s="13"/>
      <c r="L110" s="13"/>
      <c r="M110" s="13"/>
      <c r="N110" s="13"/>
      <c r="O110" s="13"/>
      <c r="P110" s="13"/>
      <c r="Q110" s="32"/>
      <c r="R110" s="32"/>
    </row>
    <row r="111" spans="1:18" ht="42" customHeight="1" x14ac:dyDescent="0.25">
      <c r="A111" s="5">
        <v>100</v>
      </c>
      <c r="B111" s="13"/>
      <c r="C111" s="13"/>
      <c r="D111" s="13"/>
      <c r="E111" s="13"/>
      <c r="F111" s="13"/>
      <c r="G111" s="13"/>
      <c r="H111" s="13"/>
      <c r="I111" s="13"/>
      <c r="J111" s="14"/>
      <c r="K111" s="13"/>
      <c r="L111" s="13"/>
      <c r="M111" s="13"/>
      <c r="N111" s="13"/>
      <c r="O111" s="13"/>
      <c r="P111" s="13"/>
      <c r="Q111" s="32"/>
      <c r="R111" s="32"/>
    </row>
    <row r="112" spans="1:18" ht="42" customHeight="1" x14ac:dyDescent="0.25">
      <c r="A112" s="5">
        <v>101</v>
      </c>
      <c r="B112" s="13"/>
      <c r="C112" s="13"/>
      <c r="D112" s="13"/>
      <c r="E112" s="13"/>
      <c r="F112" s="13"/>
      <c r="G112" s="13"/>
      <c r="H112" s="13"/>
      <c r="I112" s="13"/>
      <c r="J112" s="14"/>
      <c r="K112" s="13"/>
      <c r="L112" s="13"/>
      <c r="M112" s="13"/>
      <c r="N112" s="13"/>
      <c r="O112" s="13"/>
      <c r="P112" s="13"/>
      <c r="Q112" s="32"/>
      <c r="R112" s="32"/>
    </row>
    <row r="113" spans="1:18" ht="42" customHeight="1" x14ac:dyDescent="0.25">
      <c r="A113" s="5">
        <v>102</v>
      </c>
      <c r="B113" s="13"/>
      <c r="C113" s="13"/>
      <c r="D113" s="13"/>
      <c r="E113" s="13"/>
      <c r="F113" s="13"/>
      <c r="G113" s="13"/>
      <c r="H113" s="13"/>
      <c r="I113" s="13"/>
      <c r="J113" s="14"/>
      <c r="K113" s="13"/>
      <c r="L113" s="13"/>
      <c r="M113" s="13"/>
      <c r="N113" s="13"/>
      <c r="O113" s="13"/>
      <c r="P113" s="13"/>
      <c r="Q113" s="32"/>
      <c r="R113" s="32"/>
    </row>
    <row r="114" spans="1:18" ht="42" customHeight="1" x14ac:dyDescent="0.25">
      <c r="A114" s="5">
        <v>103</v>
      </c>
      <c r="B114" s="13"/>
      <c r="C114" s="13"/>
      <c r="D114" s="13"/>
      <c r="E114" s="13"/>
      <c r="F114" s="13"/>
      <c r="G114" s="13"/>
      <c r="H114" s="13"/>
      <c r="I114" s="13"/>
      <c r="J114" s="14"/>
      <c r="K114" s="13"/>
      <c r="L114" s="13"/>
      <c r="M114" s="13"/>
      <c r="N114" s="13"/>
      <c r="O114" s="13"/>
      <c r="P114" s="13"/>
      <c r="Q114" s="32"/>
      <c r="R114" s="32"/>
    </row>
    <row r="115" spans="1:18" ht="42" customHeight="1" x14ac:dyDescent="0.25">
      <c r="A115" s="5">
        <v>104</v>
      </c>
      <c r="B115" s="13"/>
      <c r="C115" s="13"/>
      <c r="D115" s="13"/>
      <c r="E115" s="13"/>
      <c r="F115" s="13"/>
      <c r="G115" s="13"/>
      <c r="H115" s="13"/>
      <c r="I115" s="13"/>
      <c r="J115" s="14"/>
      <c r="K115" s="13"/>
      <c r="L115" s="13"/>
      <c r="M115" s="13"/>
      <c r="N115" s="13"/>
      <c r="O115" s="13"/>
      <c r="P115" s="13"/>
      <c r="Q115" s="32"/>
      <c r="R115" s="32"/>
    </row>
    <row r="116" spans="1:18" ht="42" customHeight="1" x14ac:dyDescent="0.25">
      <c r="A116" s="5">
        <v>105</v>
      </c>
      <c r="B116" s="13"/>
      <c r="C116" s="13"/>
      <c r="D116" s="13"/>
      <c r="E116" s="13"/>
      <c r="F116" s="13"/>
      <c r="G116" s="13"/>
      <c r="H116" s="13"/>
      <c r="I116" s="13"/>
      <c r="J116" s="14"/>
      <c r="K116" s="13"/>
      <c r="L116" s="13"/>
      <c r="M116" s="13"/>
      <c r="N116" s="13"/>
      <c r="O116" s="13"/>
      <c r="P116" s="13"/>
      <c r="Q116" s="32"/>
      <c r="R116" s="32"/>
    </row>
    <row r="117" spans="1:18" ht="42" customHeight="1" x14ac:dyDescent="0.25">
      <c r="A117" s="5">
        <v>106</v>
      </c>
      <c r="B117" s="13"/>
      <c r="C117" s="13"/>
      <c r="D117" s="13"/>
      <c r="E117" s="13"/>
      <c r="F117" s="13"/>
      <c r="G117" s="13"/>
      <c r="H117" s="13"/>
      <c r="I117" s="13"/>
      <c r="J117" s="14"/>
      <c r="K117" s="13"/>
      <c r="L117" s="13"/>
      <c r="M117" s="13"/>
      <c r="N117" s="13"/>
      <c r="O117" s="13"/>
      <c r="P117" s="13"/>
      <c r="Q117" s="32"/>
      <c r="R117" s="32"/>
    </row>
    <row r="118" spans="1:18" ht="42" customHeight="1" x14ac:dyDescent="0.25">
      <c r="A118" s="5">
        <v>107</v>
      </c>
      <c r="B118" s="13"/>
      <c r="C118" s="13"/>
      <c r="D118" s="13"/>
      <c r="E118" s="13"/>
      <c r="F118" s="13"/>
      <c r="G118" s="13"/>
      <c r="H118" s="13"/>
      <c r="I118" s="13"/>
      <c r="J118" s="14"/>
      <c r="K118" s="13"/>
      <c r="L118" s="13"/>
      <c r="M118" s="13"/>
      <c r="N118" s="13"/>
      <c r="O118" s="13"/>
      <c r="P118" s="13"/>
      <c r="Q118" s="32"/>
      <c r="R118" s="32"/>
    </row>
    <row r="119" spans="1:18" ht="42" customHeight="1" x14ac:dyDescent="0.25">
      <c r="A119" s="5">
        <v>108</v>
      </c>
      <c r="B119" s="13"/>
      <c r="C119" s="13"/>
      <c r="D119" s="13"/>
      <c r="E119" s="13"/>
      <c r="F119" s="13"/>
      <c r="G119" s="13"/>
      <c r="H119" s="13"/>
      <c r="I119" s="13"/>
      <c r="J119" s="14"/>
      <c r="K119" s="13"/>
      <c r="L119" s="13"/>
      <c r="M119" s="13"/>
      <c r="N119" s="13"/>
      <c r="O119" s="13"/>
      <c r="P119" s="13"/>
      <c r="Q119" s="32"/>
      <c r="R119" s="32"/>
    </row>
    <row r="120" spans="1:18" ht="42" customHeight="1" x14ac:dyDescent="0.25">
      <c r="A120" s="5">
        <v>109</v>
      </c>
      <c r="B120" s="13"/>
      <c r="C120" s="13"/>
      <c r="D120" s="13"/>
      <c r="E120" s="13"/>
      <c r="F120" s="13"/>
      <c r="G120" s="13"/>
      <c r="H120" s="13"/>
      <c r="I120" s="13"/>
      <c r="J120" s="14"/>
      <c r="K120" s="13"/>
      <c r="L120" s="13"/>
      <c r="M120" s="13"/>
      <c r="N120" s="13"/>
      <c r="O120" s="13"/>
      <c r="P120" s="13"/>
      <c r="Q120" s="32"/>
      <c r="R120" s="32"/>
    </row>
    <row r="121" spans="1:18" ht="42" customHeight="1" x14ac:dyDescent="0.25">
      <c r="A121" s="5">
        <v>110</v>
      </c>
      <c r="B121" s="13"/>
      <c r="C121" s="13"/>
      <c r="D121" s="13"/>
      <c r="E121" s="13"/>
      <c r="F121" s="13"/>
      <c r="G121" s="13"/>
      <c r="H121" s="13"/>
      <c r="I121" s="13"/>
      <c r="J121" s="14"/>
      <c r="K121" s="13"/>
      <c r="L121" s="13"/>
      <c r="M121" s="13"/>
      <c r="N121" s="13"/>
      <c r="O121" s="13"/>
      <c r="P121" s="13"/>
      <c r="Q121" s="32"/>
      <c r="R121" s="32"/>
    </row>
    <row r="122" spans="1:18" ht="42" customHeight="1" x14ac:dyDescent="0.25">
      <c r="A122" s="5">
        <v>111</v>
      </c>
      <c r="B122" s="13"/>
      <c r="C122" s="13"/>
      <c r="D122" s="13"/>
      <c r="E122" s="13"/>
      <c r="F122" s="13"/>
      <c r="G122" s="13"/>
      <c r="H122" s="13"/>
      <c r="I122" s="13"/>
      <c r="J122" s="14"/>
      <c r="K122" s="13"/>
      <c r="L122" s="13"/>
      <c r="M122" s="13"/>
      <c r="N122" s="13"/>
      <c r="O122" s="13"/>
      <c r="P122" s="13"/>
      <c r="Q122" s="32"/>
      <c r="R122" s="32"/>
    </row>
    <row r="123" spans="1:18" ht="42" customHeight="1" x14ac:dyDescent="0.25">
      <c r="A123" s="5">
        <v>112</v>
      </c>
      <c r="B123" s="13"/>
      <c r="C123" s="13"/>
      <c r="D123" s="13"/>
      <c r="E123" s="13"/>
      <c r="F123" s="13"/>
      <c r="G123" s="13"/>
      <c r="H123" s="13"/>
      <c r="I123" s="13"/>
      <c r="J123" s="14"/>
      <c r="K123" s="13"/>
      <c r="L123" s="13"/>
      <c r="M123" s="13"/>
      <c r="N123" s="13"/>
      <c r="O123" s="13"/>
      <c r="P123" s="13"/>
      <c r="Q123" s="32"/>
      <c r="R123" s="32"/>
    </row>
    <row r="124" spans="1:18" ht="42" customHeight="1" x14ac:dyDescent="0.25">
      <c r="A124" s="5">
        <v>113</v>
      </c>
      <c r="B124" s="13"/>
      <c r="C124" s="13"/>
      <c r="D124" s="13"/>
      <c r="E124" s="13"/>
      <c r="F124" s="13"/>
      <c r="G124" s="13"/>
      <c r="H124" s="13"/>
      <c r="I124" s="13"/>
      <c r="J124" s="14"/>
      <c r="K124" s="13"/>
      <c r="L124" s="13"/>
      <c r="M124" s="13"/>
      <c r="N124" s="13"/>
      <c r="O124" s="13"/>
      <c r="P124" s="13"/>
      <c r="Q124" s="32"/>
      <c r="R124" s="32"/>
    </row>
    <row r="125" spans="1:18" ht="42" customHeight="1" x14ac:dyDescent="0.25">
      <c r="A125" s="5">
        <v>114</v>
      </c>
      <c r="B125" s="13"/>
      <c r="C125" s="13"/>
      <c r="D125" s="13"/>
      <c r="E125" s="13"/>
      <c r="F125" s="13"/>
      <c r="G125" s="13"/>
      <c r="H125" s="13"/>
      <c r="I125" s="13"/>
      <c r="J125" s="14"/>
      <c r="K125" s="13"/>
      <c r="L125" s="13"/>
      <c r="M125" s="13"/>
      <c r="N125" s="13"/>
      <c r="O125" s="13"/>
      <c r="P125" s="13"/>
      <c r="Q125" s="32"/>
      <c r="R125" s="32"/>
    </row>
    <row r="126" spans="1:18" ht="42" customHeight="1" x14ac:dyDescent="0.25">
      <c r="A126" s="5">
        <v>115</v>
      </c>
      <c r="B126" s="13"/>
      <c r="C126" s="13"/>
      <c r="D126" s="13"/>
      <c r="E126" s="13"/>
      <c r="F126" s="13"/>
      <c r="G126" s="13"/>
      <c r="H126" s="13"/>
      <c r="I126" s="13"/>
      <c r="J126" s="14"/>
      <c r="K126" s="13"/>
      <c r="L126" s="13"/>
      <c r="M126" s="13"/>
      <c r="N126" s="13"/>
      <c r="O126" s="13"/>
      <c r="P126" s="13"/>
      <c r="Q126" s="32"/>
      <c r="R126" s="32"/>
    </row>
    <row r="127" spans="1:18" ht="42" customHeight="1" x14ac:dyDescent="0.25">
      <c r="A127" s="5">
        <v>116</v>
      </c>
      <c r="B127" s="13"/>
      <c r="C127" s="13"/>
      <c r="D127" s="13"/>
      <c r="E127" s="13"/>
      <c r="F127" s="13"/>
      <c r="G127" s="13"/>
      <c r="H127" s="13"/>
      <c r="I127" s="13"/>
      <c r="J127" s="14"/>
      <c r="K127" s="13"/>
      <c r="L127" s="13"/>
      <c r="M127" s="13"/>
      <c r="N127" s="13"/>
      <c r="O127" s="13"/>
      <c r="P127" s="13"/>
      <c r="Q127" s="32"/>
      <c r="R127" s="32"/>
    </row>
    <row r="128" spans="1:18" ht="42" customHeight="1" x14ac:dyDescent="0.25">
      <c r="A128" s="5">
        <v>117</v>
      </c>
      <c r="B128" s="13"/>
      <c r="C128" s="13"/>
      <c r="D128" s="13"/>
      <c r="E128" s="13"/>
      <c r="F128" s="13"/>
      <c r="G128" s="13"/>
      <c r="H128" s="13"/>
      <c r="I128" s="13"/>
      <c r="J128" s="14"/>
      <c r="K128" s="13"/>
      <c r="L128" s="13"/>
      <c r="M128" s="13"/>
      <c r="N128" s="13"/>
      <c r="O128" s="13"/>
      <c r="P128" s="13"/>
      <c r="Q128" s="32"/>
      <c r="R128" s="32"/>
    </row>
    <row r="129" spans="1:18" ht="42" customHeight="1" x14ac:dyDescent="0.25">
      <c r="A129" s="5">
        <v>118</v>
      </c>
      <c r="B129" s="13"/>
      <c r="C129" s="13"/>
      <c r="D129" s="13"/>
      <c r="E129" s="13"/>
      <c r="F129" s="13"/>
      <c r="G129" s="13"/>
      <c r="H129" s="13"/>
      <c r="I129" s="13"/>
      <c r="J129" s="14"/>
      <c r="K129" s="13"/>
      <c r="L129" s="13"/>
      <c r="M129" s="13"/>
      <c r="N129" s="13"/>
      <c r="O129" s="13"/>
      <c r="P129" s="13"/>
      <c r="Q129" s="32"/>
      <c r="R129" s="32"/>
    </row>
    <row r="130" spans="1:18" ht="42" customHeight="1" x14ac:dyDescent="0.25">
      <c r="A130" s="5">
        <v>119</v>
      </c>
      <c r="B130" s="13"/>
      <c r="C130" s="13"/>
      <c r="D130" s="13"/>
      <c r="E130" s="13"/>
      <c r="F130" s="13"/>
      <c r="G130" s="13"/>
      <c r="H130" s="13"/>
      <c r="I130" s="13"/>
      <c r="J130" s="14"/>
      <c r="K130" s="13"/>
      <c r="L130" s="13"/>
      <c r="M130" s="13"/>
      <c r="N130" s="13"/>
      <c r="O130" s="13"/>
      <c r="P130" s="13"/>
      <c r="Q130" s="32"/>
      <c r="R130" s="32"/>
    </row>
    <row r="131" spans="1:18" ht="42" customHeight="1" x14ac:dyDescent="0.25">
      <c r="A131" s="5">
        <v>120</v>
      </c>
      <c r="B131" s="13"/>
      <c r="C131" s="13"/>
      <c r="D131" s="13"/>
      <c r="E131" s="13"/>
      <c r="F131" s="13"/>
      <c r="G131" s="13"/>
      <c r="H131" s="13"/>
      <c r="I131" s="13"/>
      <c r="J131" s="14"/>
      <c r="K131" s="13"/>
      <c r="L131" s="13"/>
      <c r="M131" s="13"/>
      <c r="N131" s="13"/>
      <c r="O131" s="13"/>
      <c r="P131" s="13"/>
      <c r="Q131" s="32"/>
      <c r="R131" s="32"/>
    </row>
    <row r="132" spans="1:18" ht="42" customHeight="1" x14ac:dyDescent="0.25">
      <c r="A132" s="5">
        <v>121</v>
      </c>
      <c r="B132" s="13"/>
      <c r="C132" s="13"/>
      <c r="D132" s="13"/>
      <c r="E132" s="13"/>
      <c r="F132" s="13"/>
      <c r="G132" s="13"/>
      <c r="H132" s="13"/>
      <c r="I132" s="13"/>
      <c r="J132" s="14"/>
      <c r="K132" s="13"/>
      <c r="L132" s="13"/>
      <c r="M132" s="13"/>
      <c r="N132" s="13"/>
      <c r="O132" s="13"/>
      <c r="P132" s="13"/>
      <c r="Q132" s="32"/>
      <c r="R132" s="32"/>
    </row>
    <row r="133" spans="1:18" ht="42" customHeight="1" x14ac:dyDescent="0.25">
      <c r="A133" s="5">
        <v>122</v>
      </c>
      <c r="B133" s="13"/>
      <c r="C133" s="13"/>
      <c r="D133" s="13"/>
      <c r="E133" s="13"/>
      <c r="F133" s="13"/>
      <c r="G133" s="13"/>
      <c r="H133" s="13"/>
      <c r="I133" s="13"/>
      <c r="J133" s="14"/>
      <c r="K133" s="13"/>
      <c r="L133" s="13"/>
      <c r="M133" s="13"/>
      <c r="N133" s="13"/>
      <c r="O133" s="13"/>
      <c r="P133" s="13"/>
      <c r="Q133" s="32"/>
      <c r="R133" s="32"/>
    </row>
    <row r="134" spans="1:18" ht="42" customHeight="1" x14ac:dyDescent="0.25">
      <c r="A134" s="5">
        <v>123</v>
      </c>
      <c r="B134" s="13"/>
      <c r="C134" s="13"/>
      <c r="D134" s="13"/>
      <c r="E134" s="13"/>
      <c r="F134" s="13"/>
      <c r="G134" s="13"/>
      <c r="H134" s="13"/>
      <c r="I134" s="13"/>
      <c r="J134" s="14"/>
      <c r="K134" s="13"/>
      <c r="L134" s="13"/>
      <c r="M134" s="13"/>
      <c r="N134" s="13"/>
      <c r="O134" s="13"/>
      <c r="P134" s="13"/>
      <c r="Q134" s="32"/>
      <c r="R134" s="32"/>
    </row>
    <row r="135" spans="1:18" ht="42" customHeight="1" x14ac:dyDescent="0.25">
      <c r="A135" s="5">
        <v>124</v>
      </c>
      <c r="B135" s="13"/>
      <c r="C135" s="13"/>
      <c r="D135" s="13"/>
      <c r="E135" s="13"/>
      <c r="F135" s="13"/>
      <c r="G135" s="13"/>
      <c r="H135" s="13"/>
      <c r="I135" s="13"/>
      <c r="J135" s="14"/>
      <c r="K135" s="13"/>
      <c r="L135" s="13"/>
      <c r="M135" s="13"/>
      <c r="N135" s="13"/>
      <c r="O135" s="13"/>
      <c r="P135" s="13"/>
      <c r="Q135" s="32"/>
      <c r="R135" s="32"/>
    </row>
    <row r="136" spans="1:18" ht="42" customHeight="1" x14ac:dyDescent="0.25">
      <c r="A136" s="5">
        <v>125</v>
      </c>
      <c r="B136" s="13"/>
      <c r="C136" s="13"/>
      <c r="D136" s="13"/>
      <c r="E136" s="13"/>
      <c r="F136" s="13"/>
      <c r="G136" s="13"/>
      <c r="H136" s="13"/>
      <c r="I136" s="13"/>
      <c r="J136" s="14"/>
      <c r="K136" s="13"/>
      <c r="L136" s="13"/>
      <c r="M136" s="13"/>
      <c r="N136" s="13"/>
      <c r="O136" s="13"/>
      <c r="P136" s="13"/>
      <c r="Q136" s="32"/>
      <c r="R136" s="32"/>
    </row>
    <row r="137" spans="1:18" ht="42" customHeight="1" x14ac:dyDescent="0.25">
      <c r="A137" s="5">
        <v>126</v>
      </c>
      <c r="B137" s="13"/>
      <c r="C137" s="13"/>
      <c r="D137" s="13"/>
      <c r="E137" s="13"/>
      <c r="F137" s="13"/>
      <c r="G137" s="13"/>
      <c r="H137" s="13"/>
      <c r="I137" s="13"/>
      <c r="J137" s="14"/>
      <c r="K137" s="13"/>
      <c r="L137" s="13"/>
      <c r="M137" s="13"/>
      <c r="N137" s="13"/>
      <c r="O137" s="13"/>
      <c r="P137" s="13"/>
      <c r="Q137" s="32"/>
      <c r="R137" s="32"/>
    </row>
    <row r="138" spans="1:18" ht="42" customHeight="1" x14ac:dyDescent="0.25">
      <c r="A138" s="5">
        <v>127</v>
      </c>
      <c r="B138" s="13"/>
      <c r="C138" s="13"/>
      <c r="D138" s="13"/>
      <c r="E138" s="13"/>
      <c r="F138" s="13"/>
      <c r="G138" s="13"/>
      <c r="H138" s="13"/>
      <c r="I138" s="13"/>
      <c r="J138" s="14"/>
      <c r="K138" s="13"/>
      <c r="L138" s="13"/>
      <c r="M138" s="13"/>
      <c r="N138" s="13"/>
      <c r="O138" s="13"/>
      <c r="P138" s="13"/>
      <c r="Q138" s="32"/>
      <c r="R138" s="32"/>
    </row>
    <row r="139" spans="1:18" ht="42" customHeight="1" x14ac:dyDescent="0.25">
      <c r="A139" s="5">
        <v>128</v>
      </c>
      <c r="B139" s="13"/>
      <c r="C139" s="13"/>
      <c r="D139" s="13"/>
      <c r="E139" s="13"/>
      <c r="F139" s="13"/>
      <c r="G139" s="13"/>
      <c r="H139" s="13"/>
      <c r="I139" s="13"/>
      <c r="J139" s="14"/>
      <c r="K139" s="13"/>
      <c r="L139" s="13"/>
      <c r="M139" s="13"/>
      <c r="N139" s="13"/>
      <c r="O139" s="13"/>
      <c r="P139" s="13"/>
      <c r="Q139" s="32"/>
      <c r="R139" s="32"/>
    </row>
    <row r="140" spans="1:18" ht="42" customHeight="1" x14ac:dyDescent="0.25">
      <c r="A140" s="5">
        <v>129</v>
      </c>
      <c r="B140" s="13"/>
      <c r="C140" s="13"/>
      <c r="D140" s="13"/>
      <c r="E140" s="13"/>
      <c r="F140" s="13"/>
      <c r="G140" s="13"/>
      <c r="H140" s="13"/>
      <c r="I140" s="13"/>
      <c r="J140" s="14"/>
      <c r="K140" s="13"/>
      <c r="L140" s="13"/>
      <c r="M140" s="13"/>
      <c r="N140" s="13"/>
      <c r="O140" s="13"/>
      <c r="P140" s="13"/>
      <c r="Q140" s="32"/>
      <c r="R140" s="32"/>
    </row>
    <row r="141" spans="1:18" ht="42" customHeight="1" x14ac:dyDescent="0.25">
      <c r="A141" s="5">
        <v>130</v>
      </c>
      <c r="B141" s="13"/>
      <c r="C141" s="13"/>
      <c r="D141" s="13"/>
      <c r="E141" s="13"/>
      <c r="F141" s="13"/>
      <c r="G141" s="13"/>
      <c r="H141" s="13"/>
      <c r="I141" s="13"/>
      <c r="J141" s="14"/>
      <c r="K141" s="13"/>
      <c r="L141" s="13"/>
      <c r="M141" s="13"/>
      <c r="N141" s="13"/>
      <c r="O141" s="13"/>
      <c r="P141" s="13"/>
      <c r="Q141" s="32"/>
      <c r="R141" s="32"/>
    </row>
    <row r="142" spans="1:18" ht="42" customHeight="1" x14ac:dyDescent="0.25">
      <c r="A142" s="5">
        <v>131</v>
      </c>
      <c r="B142" s="13"/>
      <c r="C142" s="13"/>
      <c r="D142" s="13"/>
      <c r="E142" s="13"/>
      <c r="F142" s="13"/>
      <c r="G142" s="13"/>
      <c r="H142" s="13"/>
      <c r="I142" s="13"/>
      <c r="J142" s="14"/>
      <c r="K142" s="13"/>
      <c r="L142" s="13"/>
      <c r="M142" s="13"/>
      <c r="N142" s="13"/>
      <c r="O142" s="13"/>
      <c r="P142" s="13"/>
      <c r="Q142" s="32"/>
      <c r="R142" s="32"/>
    </row>
    <row r="143" spans="1:18" ht="42" customHeight="1" x14ac:dyDescent="0.25">
      <c r="A143" s="5">
        <v>132</v>
      </c>
      <c r="B143" s="13"/>
      <c r="C143" s="13"/>
      <c r="D143" s="13"/>
      <c r="E143" s="13"/>
      <c r="F143" s="13"/>
      <c r="G143" s="13"/>
      <c r="H143" s="13"/>
      <c r="I143" s="13"/>
      <c r="J143" s="14"/>
      <c r="K143" s="13"/>
      <c r="L143" s="13"/>
      <c r="M143" s="13"/>
      <c r="N143" s="13"/>
      <c r="O143" s="13"/>
      <c r="P143" s="13"/>
      <c r="Q143" s="32"/>
      <c r="R143" s="32"/>
    </row>
    <row r="144" spans="1:18" ht="42" customHeight="1" x14ac:dyDescent="0.25">
      <c r="A144" s="5">
        <v>133</v>
      </c>
      <c r="B144" s="13"/>
      <c r="C144" s="13"/>
      <c r="D144" s="13"/>
      <c r="E144" s="13"/>
      <c r="F144" s="13"/>
      <c r="G144" s="13"/>
      <c r="H144" s="13"/>
      <c r="I144" s="13"/>
      <c r="J144" s="14"/>
      <c r="K144" s="13"/>
      <c r="L144" s="13"/>
      <c r="M144" s="13"/>
      <c r="N144" s="13"/>
      <c r="O144" s="13"/>
      <c r="P144" s="13"/>
      <c r="Q144" s="32"/>
      <c r="R144" s="32"/>
    </row>
    <row r="145" spans="1:18" ht="42" customHeight="1" x14ac:dyDescent="0.25">
      <c r="A145" s="5">
        <v>134</v>
      </c>
      <c r="B145" s="13"/>
      <c r="C145" s="13"/>
      <c r="D145" s="13"/>
      <c r="E145" s="13"/>
      <c r="F145" s="13"/>
      <c r="G145" s="13"/>
      <c r="H145" s="13"/>
      <c r="I145" s="13"/>
      <c r="J145" s="14"/>
      <c r="K145" s="13"/>
      <c r="L145" s="13"/>
      <c r="M145" s="13"/>
      <c r="N145" s="13"/>
      <c r="O145" s="13"/>
      <c r="P145" s="13"/>
      <c r="Q145" s="32"/>
      <c r="R145" s="32"/>
    </row>
    <row r="146" spans="1:18" ht="42" customHeight="1" x14ac:dyDescent="0.25">
      <c r="A146" s="5">
        <v>135</v>
      </c>
      <c r="B146" s="13"/>
      <c r="C146" s="13"/>
      <c r="D146" s="13"/>
      <c r="E146" s="13"/>
      <c r="F146" s="13"/>
      <c r="G146" s="13"/>
      <c r="H146" s="13"/>
      <c r="I146" s="13"/>
      <c r="J146" s="14"/>
      <c r="K146" s="13"/>
      <c r="L146" s="13"/>
      <c r="M146" s="13"/>
      <c r="N146" s="13"/>
      <c r="O146" s="13"/>
      <c r="P146" s="13"/>
      <c r="Q146" s="32"/>
      <c r="R146" s="32"/>
    </row>
    <row r="147" spans="1:18" ht="42" customHeight="1" x14ac:dyDescent="0.25">
      <c r="A147" s="5">
        <v>136</v>
      </c>
      <c r="B147" s="13"/>
      <c r="C147" s="13"/>
      <c r="D147" s="13"/>
      <c r="E147" s="13"/>
      <c r="F147" s="13"/>
      <c r="G147" s="13"/>
      <c r="H147" s="13"/>
      <c r="I147" s="13"/>
      <c r="J147" s="14"/>
      <c r="K147" s="13"/>
      <c r="L147" s="13"/>
      <c r="M147" s="13"/>
      <c r="N147" s="13"/>
      <c r="O147" s="13"/>
      <c r="P147" s="13"/>
      <c r="Q147" s="32"/>
      <c r="R147" s="32"/>
    </row>
    <row r="148" spans="1:18" ht="42" customHeight="1" x14ac:dyDescent="0.25">
      <c r="A148" s="5">
        <v>137</v>
      </c>
      <c r="B148" s="13"/>
      <c r="C148" s="13"/>
      <c r="D148" s="13"/>
      <c r="E148" s="13"/>
      <c r="F148" s="13"/>
      <c r="G148" s="13"/>
      <c r="H148" s="13"/>
      <c r="I148" s="13"/>
      <c r="J148" s="14"/>
      <c r="K148" s="13"/>
      <c r="L148" s="13"/>
      <c r="M148" s="13"/>
      <c r="N148" s="13"/>
      <c r="O148" s="13"/>
      <c r="P148" s="13"/>
      <c r="Q148" s="32"/>
      <c r="R148" s="32"/>
    </row>
    <row r="149" spans="1:18" ht="42" customHeight="1" x14ac:dyDescent="0.25">
      <c r="A149" s="5">
        <v>138</v>
      </c>
      <c r="B149" s="13"/>
      <c r="C149" s="13"/>
      <c r="D149" s="13"/>
      <c r="E149" s="13"/>
      <c r="F149" s="13"/>
      <c r="G149" s="13"/>
      <c r="H149" s="13"/>
      <c r="I149" s="13"/>
      <c r="J149" s="14"/>
      <c r="K149" s="13"/>
      <c r="L149" s="13"/>
      <c r="M149" s="13"/>
      <c r="N149" s="13"/>
      <c r="O149" s="13"/>
      <c r="P149" s="13"/>
      <c r="Q149" s="32"/>
      <c r="R149" s="32"/>
    </row>
    <row r="150" spans="1:18" ht="42" customHeight="1" x14ac:dyDescent="0.25">
      <c r="A150" s="5">
        <v>139</v>
      </c>
      <c r="B150" s="13"/>
      <c r="C150" s="13"/>
      <c r="D150" s="13"/>
      <c r="E150" s="13"/>
      <c r="F150" s="13"/>
      <c r="G150" s="13"/>
      <c r="H150" s="13"/>
      <c r="I150" s="13"/>
      <c r="J150" s="14"/>
      <c r="K150" s="13"/>
      <c r="L150" s="13"/>
      <c r="M150" s="13"/>
      <c r="N150" s="13"/>
      <c r="O150" s="13"/>
      <c r="P150" s="13"/>
      <c r="Q150" s="32"/>
      <c r="R150" s="32"/>
    </row>
    <row r="151" spans="1:18" ht="42" customHeight="1" x14ac:dyDescent="0.25">
      <c r="A151" s="5">
        <v>140</v>
      </c>
      <c r="B151" s="13"/>
      <c r="C151" s="13"/>
      <c r="D151" s="13"/>
      <c r="E151" s="13"/>
      <c r="F151" s="13"/>
      <c r="G151" s="13"/>
      <c r="H151" s="13"/>
      <c r="I151" s="13"/>
      <c r="J151" s="14"/>
      <c r="K151" s="13"/>
      <c r="L151" s="13"/>
      <c r="M151" s="13"/>
      <c r="N151" s="13"/>
      <c r="O151" s="13"/>
      <c r="P151" s="13"/>
      <c r="Q151" s="32"/>
      <c r="R151" s="32"/>
    </row>
    <row r="152" spans="1:18" ht="42" customHeight="1" x14ac:dyDescent="0.25">
      <c r="A152" s="5">
        <v>141</v>
      </c>
      <c r="B152" s="13"/>
      <c r="C152" s="13"/>
      <c r="D152" s="13"/>
      <c r="E152" s="13"/>
      <c r="F152" s="13"/>
      <c r="G152" s="13"/>
      <c r="H152" s="13"/>
      <c r="I152" s="13"/>
      <c r="J152" s="14"/>
      <c r="K152" s="13"/>
      <c r="L152" s="13"/>
      <c r="M152" s="13"/>
      <c r="N152" s="13"/>
      <c r="O152" s="13"/>
      <c r="P152" s="13"/>
      <c r="Q152" s="32"/>
      <c r="R152" s="32"/>
    </row>
    <row r="153" spans="1:18" ht="42" customHeight="1" x14ac:dyDescent="0.25">
      <c r="A153" s="5">
        <v>142</v>
      </c>
      <c r="B153" s="13"/>
      <c r="C153" s="13"/>
      <c r="D153" s="13"/>
      <c r="E153" s="13"/>
      <c r="F153" s="13"/>
      <c r="G153" s="13"/>
      <c r="H153" s="13"/>
      <c r="I153" s="13"/>
      <c r="J153" s="14"/>
      <c r="K153" s="13"/>
      <c r="L153" s="13"/>
      <c r="M153" s="13"/>
      <c r="N153" s="13"/>
      <c r="O153" s="13"/>
      <c r="P153" s="13"/>
      <c r="Q153" s="32"/>
      <c r="R153" s="32"/>
    </row>
    <row r="154" spans="1:18" ht="42" customHeight="1" x14ac:dyDescent="0.25">
      <c r="A154" s="5">
        <v>143</v>
      </c>
      <c r="B154" s="13"/>
      <c r="C154" s="13"/>
      <c r="D154" s="13"/>
      <c r="E154" s="13"/>
      <c r="F154" s="13"/>
      <c r="G154" s="13"/>
      <c r="H154" s="13"/>
      <c r="I154" s="13"/>
      <c r="J154" s="14"/>
      <c r="K154" s="13"/>
      <c r="L154" s="13"/>
      <c r="M154" s="13"/>
      <c r="N154" s="13"/>
      <c r="O154" s="13"/>
      <c r="P154" s="13"/>
      <c r="Q154" s="32"/>
      <c r="R154" s="32"/>
    </row>
    <row r="155" spans="1:18" ht="42" customHeight="1" x14ac:dyDescent="0.25">
      <c r="A155" s="5">
        <v>144</v>
      </c>
      <c r="B155" s="13"/>
      <c r="C155" s="13"/>
      <c r="D155" s="13"/>
      <c r="E155" s="13"/>
      <c r="F155" s="13"/>
      <c r="G155" s="13"/>
      <c r="H155" s="13"/>
      <c r="I155" s="13"/>
      <c r="J155" s="14"/>
      <c r="K155" s="13"/>
      <c r="L155" s="13"/>
      <c r="M155" s="13"/>
      <c r="N155" s="13"/>
      <c r="O155" s="13"/>
      <c r="P155" s="13"/>
      <c r="Q155" s="32"/>
      <c r="R155" s="32"/>
    </row>
    <row r="156" spans="1:18" ht="42" customHeight="1" x14ac:dyDescent="0.25">
      <c r="A156" s="5">
        <v>145</v>
      </c>
      <c r="B156" s="13"/>
      <c r="C156" s="13"/>
      <c r="D156" s="13"/>
      <c r="E156" s="13"/>
      <c r="F156" s="13"/>
      <c r="G156" s="13"/>
      <c r="H156" s="13"/>
      <c r="I156" s="13"/>
      <c r="J156" s="14"/>
      <c r="K156" s="13"/>
      <c r="L156" s="13"/>
      <c r="M156" s="13"/>
      <c r="N156" s="13"/>
      <c r="O156" s="13"/>
      <c r="P156" s="13"/>
      <c r="Q156" s="32"/>
      <c r="R156" s="32"/>
    </row>
    <row r="157" spans="1:18" ht="42" customHeight="1" x14ac:dyDescent="0.25">
      <c r="A157" s="5">
        <v>146</v>
      </c>
      <c r="B157" s="13"/>
      <c r="C157" s="13"/>
      <c r="D157" s="13"/>
      <c r="E157" s="13"/>
      <c r="F157" s="13"/>
      <c r="G157" s="13"/>
      <c r="H157" s="13"/>
      <c r="I157" s="13"/>
      <c r="J157" s="14"/>
      <c r="K157" s="13"/>
      <c r="L157" s="13"/>
      <c r="M157" s="13"/>
      <c r="N157" s="13"/>
      <c r="O157" s="13"/>
      <c r="P157" s="13"/>
      <c r="Q157" s="32"/>
      <c r="R157" s="32"/>
    </row>
    <row r="158" spans="1:18" ht="42" customHeight="1" x14ac:dyDescent="0.25">
      <c r="A158" s="5">
        <v>147</v>
      </c>
      <c r="B158" s="13"/>
      <c r="C158" s="13"/>
      <c r="D158" s="13"/>
      <c r="E158" s="13"/>
      <c r="F158" s="13"/>
      <c r="G158" s="13"/>
      <c r="H158" s="13"/>
      <c r="I158" s="13"/>
      <c r="J158" s="14"/>
      <c r="K158" s="13"/>
      <c r="L158" s="13"/>
      <c r="M158" s="13"/>
      <c r="N158" s="13"/>
      <c r="O158" s="13"/>
      <c r="P158" s="13"/>
      <c r="Q158" s="32"/>
      <c r="R158" s="32"/>
    </row>
    <row r="159" spans="1:18" ht="42" customHeight="1" x14ac:dyDescent="0.25">
      <c r="A159" s="5">
        <v>148</v>
      </c>
      <c r="B159" s="13"/>
      <c r="C159" s="13"/>
      <c r="D159" s="13"/>
      <c r="E159" s="13"/>
      <c r="F159" s="13"/>
      <c r="G159" s="13"/>
      <c r="H159" s="13"/>
      <c r="I159" s="13"/>
      <c r="J159" s="14"/>
      <c r="K159" s="13"/>
      <c r="L159" s="13"/>
      <c r="M159" s="13"/>
      <c r="N159" s="13"/>
      <c r="O159" s="13"/>
      <c r="P159" s="13"/>
      <c r="Q159" s="32"/>
      <c r="R159" s="32"/>
    </row>
    <row r="160" spans="1:18" ht="42" customHeight="1" x14ac:dyDescent="0.25">
      <c r="A160" s="5">
        <v>149</v>
      </c>
      <c r="B160" s="13"/>
      <c r="C160" s="13"/>
      <c r="D160" s="13"/>
      <c r="E160" s="13"/>
      <c r="F160" s="13"/>
      <c r="G160" s="13"/>
      <c r="H160" s="13"/>
      <c r="I160" s="13"/>
      <c r="J160" s="14"/>
      <c r="K160" s="13"/>
      <c r="L160" s="13"/>
      <c r="M160" s="13"/>
      <c r="N160" s="13"/>
      <c r="O160" s="13"/>
      <c r="P160" s="13"/>
      <c r="Q160" s="32"/>
      <c r="R160" s="32"/>
    </row>
    <row r="161" spans="1:18" ht="42" customHeight="1" x14ac:dyDescent="0.25">
      <c r="A161" s="5">
        <v>150</v>
      </c>
      <c r="B161" s="13"/>
      <c r="C161" s="13"/>
      <c r="D161" s="13"/>
      <c r="E161" s="13"/>
      <c r="F161" s="13"/>
      <c r="G161" s="13"/>
      <c r="H161" s="13"/>
      <c r="I161" s="13"/>
      <c r="J161" s="14"/>
      <c r="K161" s="13"/>
      <c r="L161" s="13"/>
      <c r="M161" s="13"/>
      <c r="N161" s="13"/>
      <c r="O161" s="13"/>
      <c r="P161" s="13"/>
      <c r="Q161" s="32"/>
      <c r="R161" s="32"/>
    </row>
    <row r="162" spans="1:18" ht="42" customHeight="1" x14ac:dyDescent="0.25">
      <c r="A162" s="5">
        <v>151</v>
      </c>
      <c r="B162" s="13"/>
      <c r="C162" s="13"/>
      <c r="D162" s="13"/>
      <c r="E162" s="13"/>
      <c r="F162" s="13"/>
      <c r="G162" s="13"/>
      <c r="H162" s="13"/>
      <c r="I162" s="13"/>
      <c r="J162" s="14"/>
      <c r="K162" s="13"/>
      <c r="L162" s="13"/>
      <c r="M162" s="13"/>
      <c r="N162" s="13"/>
      <c r="O162" s="13"/>
      <c r="P162" s="13"/>
      <c r="Q162" s="32"/>
      <c r="R162" s="32"/>
    </row>
    <row r="163" spans="1:18" ht="42" customHeight="1" x14ac:dyDescent="0.25">
      <c r="A163" s="5">
        <v>152</v>
      </c>
      <c r="B163" s="13"/>
      <c r="C163" s="13"/>
      <c r="D163" s="13"/>
      <c r="E163" s="13"/>
      <c r="F163" s="13"/>
      <c r="G163" s="13"/>
      <c r="H163" s="13"/>
      <c r="I163" s="13"/>
      <c r="J163" s="14"/>
      <c r="K163" s="13"/>
      <c r="L163" s="13"/>
      <c r="M163" s="13"/>
      <c r="N163" s="13"/>
      <c r="O163" s="13"/>
      <c r="P163" s="13"/>
      <c r="Q163" s="32"/>
      <c r="R163" s="32"/>
    </row>
    <row r="164" spans="1:18" ht="42" customHeight="1" x14ac:dyDescent="0.25">
      <c r="A164" s="5">
        <v>153</v>
      </c>
      <c r="B164" s="13"/>
      <c r="C164" s="13"/>
      <c r="D164" s="13"/>
      <c r="E164" s="13"/>
      <c r="F164" s="13"/>
      <c r="G164" s="13"/>
      <c r="H164" s="13"/>
      <c r="I164" s="13"/>
      <c r="J164" s="14"/>
      <c r="K164" s="13"/>
      <c r="L164" s="13"/>
      <c r="M164" s="13"/>
      <c r="N164" s="13"/>
      <c r="O164" s="13"/>
      <c r="P164" s="13"/>
      <c r="Q164" s="32"/>
      <c r="R164" s="32"/>
    </row>
    <row r="165" spans="1:18" ht="42" customHeight="1" x14ac:dyDescent="0.25">
      <c r="A165" s="5">
        <v>154</v>
      </c>
      <c r="B165" s="13"/>
      <c r="C165" s="13"/>
      <c r="D165" s="13"/>
      <c r="E165" s="13"/>
      <c r="F165" s="13"/>
      <c r="G165" s="13"/>
      <c r="H165" s="13"/>
      <c r="I165" s="13"/>
      <c r="J165" s="14"/>
      <c r="K165" s="13"/>
      <c r="L165" s="13"/>
      <c r="M165" s="13"/>
      <c r="N165" s="13"/>
      <c r="O165" s="13"/>
      <c r="P165" s="13"/>
      <c r="Q165" s="32"/>
      <c r="R165" s="32"/>
    </row>
    <row r="166" spans="1:18" ht="42" customHeight="1" x14ac:dyDescent="0.25">
      <c r="A166" s="5">
        <v>155</v>
      </c>
      <c r="B166" s="13"/>
      <c r="C166" s="13"/>
      <c r="D166" s="13"/>
      <c r="E166" s="13"/>
      <c r="F166" s="13"/>
      <c r="G166" s="13"/>
      <c r="H166" s="13"/>
      <c r="I166" s="13"/>
      <c r="J166" s="14"/>
      <c r="K166" s="13"/>
      <c r="L166" s="13"/>
      <c r="M166" s="13"/>
      <c r="N166" s="13"/>
      <c r="O166" s="13"/>
      <c r="P166" s="13"/>
      <c r="Q166" s="32"/>
      <c r="R166" s="32"/>
    </row>
    <row r="167" spans="1:18" ht="42" customHeight="1" x14ac:dyDescent="0.25">
      <c r="A167" s="5">
        <v>156</v>
      </c>
      <c r="B167" s="13"/>
      <c r="C167" s="13"/>
      <c r="D167" s="13"/>
      <c r="E167" s="13"/>
      <c r="F167" s="13"/>
      <c r="G167" s="13"/>
      <c r="H167" s="13"/>
      <c r="I167" s="13"/>
      <c r="J167" s="14"/>
      <c r="K167" s="13"/>
      <c r="L167" s="13"/>
      <c r="M167" s="13"/>
      <c r="N167" s="13"/>
      <c r="O167" s="13"/>
      <c r="P167" s="13"/>
      <c r="Q167" s="32"/>
      <c r="R167" s="32"/>
    </row>
    <row r="168" spans="1:18" ht="42" customHeight="1" x14ac:dyDescent="0.25">
      <c r="A168" s="5">
        <v>157</v>
      </c>
      <c r="B168" s="13"/>
      <c r="C168" s="13"/>
      <c r="D168" s="13"/>
      <c r="E168" s="13"/>
      <c r="F168" s="13"/>
      <c r="G168" s="13"/>
      <c r="H168" s="13"/>
      <c r="I168" s="13"/>
      <c r="J168" s="14"/>
      <c r="K168" s="13"/>
      <c r="L168" s="13"/>
      <c r="M168" s="13"/>
      <c r="N168" s="13"/>
      <c r="O168" s="13"/>
      <c r="P168" s="13"/>
      <c r="Q168" s="32"/>
      <c r="R168" s="32"/>
    </row>
    <row r="169" spans="1:18" ht="42" customHeight="1" x14ac:dyDescent="0.25">
      <c r="A169" s="5">
        <v>158</v>
      </c>
      <c r="B169" s="13"/>
      <c r="C169" s="13"/>
      <c r="D169" s="13"/>
      <c r="E169" s="13"/>
      <c r="F169" s="13"/>
      <c r="G169" s="13"/>
      <c r="H169" s="13"/>
      <c r="I169" s="13"/>
      <c r="J169" s="14"/>
      <c r="K169" s="13"/>
      <c r="L169" s="13"/>
      <c r="M169" s="13"/>
      <c r="N169" s="13"/>
      <c r="O169" s="13"/>
      <c r="P169" s="13"/>
      <c r="Q169" s="32"/>
      <c r="R169" s="32"/>
    </row>
    <row r="170" spans="1:18" ht="42" customHeight="1" x14ac:dyDescent="0.25">
      <c r="A170" s="5">
        <v>159</v>
      </c>
      <c r="B170" s="13"/>
      <c r="C170" s="13"/>
      <c r="D170" s="13"/>
      <c r="E170" s="13"/>
      <c r="F170" s="13"/>
      <c r="G170" s="13"/>
      <c r="H170" s="13"/>
      <c r="I170" s="13"/>
      <c r="J170" s="14"/>
      <c r="K170" s="13"/>
      <c r="L170" s="13"/>
      <c r="M170" s="13"/>
      <c r="N170" s="13"/>
      <c r="O170" s="13"/>
      <c r="P170" s="13"/>
      <c r="Q170" s="32"/>
      <c r="R170" s="32"/>
    </row>
    <row r="171" spans="1:18" ht="42" customHeight="1" x14ac:dyDescent="0.25">
      <c r="A171" s="5">
        <v>160</v>
      </c>
      <c r="B171" s="13"/>
      <c r="C171" s="13"/>
      <c r="D171" s="13"/>
      <c r="E171" s="13"/>
      <c r="F171" s="13"/>
      <c r="G171" s="13"/>
      <c r="H171" s="13"/>
      <c r="I171" s="13"/>
      <c r="J171" s="14"/>
      <c r="K171" s="13"/>
      <c r="L171" s="13"/>
      <c r="M171" s="13"/>
      <c r="N171" s="13"/>
      <c r="O171" s="13"/>
      <c r="P171" s="13"/>
      <c r="Q171" s="32"/>
      <c r="R171" s="32"/>
    </row>
    <row r="172" spans="1:18" ht="42" customHeight="1" x14ac:dyDescent="0.25">
      <c r="A172" s="5">
        <v>161</v>
      </c>
      <c r="B172" s="13"/>
      <c r="C172" s="13"/>
      <c r="D172" s="13"/>
      <c r="E172" s="13"/>
      <c r="F172" s="13"/>
      <c r="G172" s="13"/>
      <c r="H172" s="13"/>
      <c r="I172" s="13"/>
      <c r="J172" s="14"/>
      <c r="K172" s="13"/>
      <c r="L172" s="13"/>
      <c r="M172" s="13"/>
      <c r="N172" s="13"/>
      <c r="O172" s="13"/>
      <c r="P172" s="13"/>
      <c r="Q172" s="32"/>
      <c r="R172" s="32"/>
    </row>
    <row r="173" spans="1:18" ht="42" customHeight="1" x14ac:dyDescent="0.25">
      <c r="A173" s="5">
        <v>162</v>
      </c>
      <c r="B173" s="13"/>
      <c r="C173" s="13"/>
      <c r="D173" s="13"/>
      <c r="E173" s="13"/>
      <c r="F173" s="13"/>
      <c r="G173" s="13"/>
      <c r="H173" s="13"/>
      <c r="I173" s="13"/>
      <c r="J173" s="14"/>
      <c r="K173" s="13"/>
      <c r="L173" s="13"/>
      <c r="M173" s="13"/>
      <c r="N173" s="13"/>
      <c r="O173" s="13"/>
      <c r="P173" s="13"/>
      <c r="Q173" s="32"/>
      <c r="R173" s="32"/>
    </row>
    <row r="174" spans="1:18" ht="42" customHeight="1" x14ac:dyDescent="0.25">
      <c r="A174" s="5">
        <v>163</v>
      </c>
      <c r="B174" s="13"/>
      <c r="C174" s="13"/>
      <c r="D174" s="13"/>
      <c r="E174" s="13"/>
      <c r="F174" s="13"/>
      <c r="G174" s="13"/>
      <c r="H174" s="13"/>
      <c r="I174" s="13"/>
      <c r="J174" s="14"/>
      <c r="K174" s="13"/>
      <c r="L174" s="13"/>
      <c r="M174" s="13"/>
      <c r="N174" s="13"/>
      <c r="O174" s="13"/>
      <c r="P174" s="13"/>
      <c r="Q174" s="32"/>
      <c r="R174" s="32"/>
    </row>
    <row r="175" spans="1:18" ht="42" customHeight="1" x14ac:dyDescent="0.25">
      <c r="A175" s="5">
        <v>164</v>
      </c>
      <c r="B175" s="13"/>
      <c r="C175" s="13"/>
      <c r="D175" s="13"/>
      <c r="E175" s="13"/>
      <c r="F175" s="13"/>
      <c r="G175" s="13"/>
      <c r="H175" s="13"/>
      <c r="I175" s="13"/>
      <c r="J175" s="14"/>
      <c r="K175" s="13"/>
      <c r="L175" s="13"/>
      <c r="M175" s="13"/>
      <c r="N175" s="13"/>
      <c r="O175" s="13"/>
      <c r="P175" s="13"/>
      <c r="Q175" s="32"/>
      <c r="R175" s="32"/>
    </row>
    <row r="176" spans="1:18" ht="42" customHeight="1" x14ac:dyDescent="0.25">
      <c r="A176" s="5">
        <v>165</v>
      </c>
      <c r="B176" s="13"/>
      <c r="C176" s="13"/>
      <c r="D176" s="13"/>
      <c r="E176" s="13"/>
      <c r="F176" s="13"/>
      <c r="G176" s="13"/>
      <c r="H176" s="13"/>
      <c r="I176" s="13"/>
      <c r="J176" s="14"/>
      <c r="K176" s="13"/>
      <c r="L176" s="13"/>
      <c r="M176" s="13"/>
      <c r="N176" s="13"/>
      <c r="O176" s="13"/>
      <c r="P176" s="13"/>
      <c r="Q176" s="32"/>
      <c r="R176" s="32"/>
    </row>
    <row r="177" spans="1:18" ht="42" customHeight="1" x14ac:dyDescent="0.25">
      <c r="A177" s="5">
        <v>166</v>
      </c>
      <c r="B177" s="13"/>
      <c r="C177" s="13"/>
      <c r="D177" s="13"/>
      <c r="E177" s="13"/>
      <c r="F177" s="13"/>
      <c r="G177" s="13"/>
      <c r="H177" s="13"/>
      <c r="I177" s="13"/>
      <c r="J177" s="14"/>
      <c r="K177" s="13"/>
      <c r="L177" s="13"/>
      <c r="M177" s="13"/>
      <c r="N177" s="13"/>
      <c r="O177" s="13"/>
      <c r="P177" s="13"/>
      <c r="Q177" s="32"/>
      <c r="R177" s="32"/>
    </row>
    <row r="178" spans="1:18" ht="42" customHeight="1" x14ac:dyDescent="0.25">
      <c r="A178" s="5">
        <v>167</v>
      </c>
      <c r="B178" s="13"/>
      <c r="C178" s="13"/>
      <c r="D178" s="13"/>
      <c r="E178" s="13"/>
      <c r="F178" s="13"/>
      <c r="G178" s="13"/>
      <c r="H178" s="13"/>
      <c r="I178" s="13"/>
      <c r="J178" s="14"/>
      <c r="K178" s="13"/>
      <c r="L178" s="13"/>
      <c r="M178" s="13"/>
      <c r="N178" s="13"/>
      <c r="O178" s="13"/>
      <c r="P178" s="13"/>
      <c r="Q178" s="32"/>
      <c r="R178" s="32"/>
    </row>
    <row r="179" spans="1:18" ht="42" customHeight="1" x14ac:dyDescent="0.25">
      <c r="A179" s="5">
        <v>168</v>
      </c>
      <c r="B179" s="13"/>
      <c r="C179" s="13"/>
      <c r="D179" s="13"/>
      <c r="E179" s="13"/>
      <c r="F179" s="13"/>
      <c r="G179" s="13"/>
      <c r="H179" s="13"/>
      <c r="I179" s="13"/>
      <c r="J179" s="14"/>
      <c r="K179" s="13"/>
      <c r="L179" s="13"/>
      <c r="M179" s="13"/>
      <c r="N179" s="13"/>
      <c r="O179" s="13"/>
      <c r="P179" s="13"/>
      <c r="Q179" s="32"/>
      <c r="R179" s="32"/>
    </row>
    <row r="180" spans="1:18" ht="42" customHeight="1" x14ac:dyDescent="0.25">
      <c r="A180" s="5">
        <v>169</v>
      </c>
      <c r="B180" s="13"/>
      <c r="C180" s="13"/>
      <c r="D180" s="13"/>
      <c r="E180" s="13"/>
      <c r="F180" s="13"/>
      <c r="G180" s="13"/>
      <c r="H180" s="13"/>
      <c r="I180" s="13"/>
      <c r="J180" s="14"/>
      <c r="K180" s="13"/>
      <c r="L180" s="13"/>
      <c r="M180" s="13"/>
      <c r="N180" s="13"/>
      <c r="O180" s="13"/>
      <c r="P180" s="13"/>
      <c r="Q180" s="32"/>
      <c r="R180" s="32"/>
    </row>
    <row r="181" spans="1:18" ht="42" customHeight="1" x14ac:dyDescent="0.25">
      <c r="A181" s="5">
        <v>170</v>
      </c>
      <c r="B181" s="13"/>
      <c r="C181" s="13"/>
      <c r="D181" s="13"/>
      <c r="E181" s="13"/>
      <c r="F181" s="13"/>
      <c r="G181" s="13"/>
      <c r="H181" s="13"/>
      <c r="I181" s="13"/>
      <c r="J181" s="14"/>
      <c r="K181" s="13"/>
      <c r="L181" s="13"/>
      <c r="M181" s="13"/>
      <c r="N181" s="13"/>
      <c r="O181" s="13"/>
      <c r="P181" s="13"/>
      <c r="Q181" s="32"/>
      <c r="R181" s="32"/>
    </row>
    <row r="182" spans="1:18" ht="42" customHeight="1" x14ac:dyDescent="0.25">
      <c r="A182" s="5">
        <v>171</v>
      </c>
      <c r="B182" s="13"/>
      <c r="C182" s="13"/>
      <c r="D182" s="13"/>
      <c r="E182" s="13"/>
      <c r="F182" s="13"/>
      <c r="G182" s="13"/>
      <c r="H182" s="13"/>
      <c r="I182" s="13"/>
      <c r="J182" s="14"/>
      <c r="K182" s="13"/>
      <c r="L182" s="13"/>
      <c r="M182" s="13"/>
      <c r="N182" s="13"/>
      <c r="O182" s="13"/>
      <c r="P182" s="13"/>
      <c r="Q182" s="32"/>
      <c r="R182" s="32"/>
    </row>
    <row r="183" spans="1:18" ht="42" customHeight="1" x14ac:dyDescent="0.25">
      <c r="A183" s="5">
        <v>172</v>
      </c>
      <c r="B183" s="13"/>
      <c r="C183" s="13"/>
      <c r="D183" s="13"/>
      <c r="E183" s="13"/>
      <c r="F183" s="13"/>
      <c r="G183" s="13"/>
      <c r="H183" s="13"/>
      <c r="I183" s="13"/>
      <c r="J183" s="14"/>
      <c r="K183" s="13"/>
      <c r="L183" s="13"/>
      <c r="M183" s="13"/>
      <c r="N183" s="13"/>
      <c r="O183" s="13"/>
      <c r="P183" s="13"/>
      <c r="Q183" s="32"/>
      <c r="R183" s="32"/>
    </row>
    <row r="184" spans="1:18" ht="42" customHeight="1" x14ac:dyDescent="0.25">
      <c r="A184" s="5">
        <v>173</v>
      </c>
      <c r="B184" s="13"/>
      <c r="C184" s="13"/>
      <c r="D184" s="13"/>
      <c r="E184" s="13"/>
      <c r="F184" s="13"/>
      <c r="G184" s="13"/>
      <c r="H184" s="13"/>
      <c r="I184" s="13"/>
      <c r="J184" s="14"/>
      <c r="K184" s="13"/>
      <c r="L184" s="13"/>
      <c r="M184" s="13"/>
      <c r="N184" s="13"/>
      <c r="O184" s="13"/>
      <c r="P184" s="13"/>
      <c r="Q184" s="32"/>
      <c r="R184" s="32"/>
    </row>
    <row r="185" spans="1:18" ht="42" customHeight="1" x14ac:dyDescent="0.25">
      <c r="A185" s="5">
        <v>174</v>
      </c>
      <c r="B185" s="13"/>
      <c r="C185" s="13"/>
      <c r="D185" s="13"/>
      <c r="E185" s="13"/>
      <c r="F185" s="13"/>
      <c r="G185" s="13"/>
      <c r="H185" s="13"/>
      <c r="I185" s="13"/>
      <c r="J185" s="14"/>
      <c r="K185" s="13"/>
      <c r="L185" s="13"/>
      <c r="M185" s="13"/>
      <c r="N185" s="13"/>
      <c r="O185" s="13"/>
      <c r="P185" s="13"/>
      <c r="Q185" s="32"/>
      <c r="R185" s="32"/>
    </row>
    <row r="186" spans="1:18" ht="42" customHeight="1" x14ac:dyDescent="0.25">
      <c r="A186" s="5">
        <v>175</v>
      </c>
      <c r="B186" s="13"/>
      <c r="C186" s="13"/>
      <c r="D186" s="13"/>
      <c r="E186" s="13"/>
      <c r="F186" s="13"/>
      <c r="G186" s="13"/>
      <c r="H186" s="13"/>
      <c r="I186" s="13"/>
      <c r="J186" s="14"/>
      <c r="K186" s="13"/>
      <c r="L186" s="13"/>
      <c r="M186" s="13"/>
      <c r="N186" s="13"/>
      <c r="O186" s="13"/>
      <c r="P186" s="13"/>
      <c r="Q186" s="32"/>
      <c r="R186" s="32"/>
    </row>
    <row r="187" spans="1:18" ht="42" customHeight="1" x14ac:dyDescent="0.25">
      <c r="A187" s="5">
        <v>176</v>
      </c>
      <c r="B187" s="13"/>
      <c r="C187" s="13"/>
      <c r="D187" s="13"/>
      <c r="E187" s="13"/>
      <c r="F187" s="13"/>
      <c r="G187" s="13"/>
      <c r="H187" s="13"/>
      <c r="I187" s="13"/>
      <c r="J187" s="14"/>
      <c r="K187" s="13"/>
      <c r="L187" s="13"/>
      <c r="M187" s="13"/>
      <c r="N187" s="13"/>
      <c r="O187" s="13"/>
      <c r="P187" s="13"/>
      <c r="Q187" s="32"/>
      <c r="R187" s="32"/>
    </row>
    <row r="188" spans="1:18" ht="42" customHeight="1" x14ac:dyDescent="0.25">
      <c r="A188" s="5">
        <v>177</v>
      </c>
      <c r="B188" s="13"/>
      <c r="C188" s="13"/>
      <c r="D188" s="13"/>
      <c r="E188" s="13"/>
      <c r="F188" s="13"/>
      <c r="G188" s="13"/>
      <c r="H188" s="13"/>
      <c r="I188" s="13"/>
      <c r="J188" s="14"/>
      <c r="K188" s="13"/>
      <c r="L188" s="13"/>
      <c r="M188" s="13"/>
      <c r="N188" s="13"/>
      <c r="O188" s="13"/>
      <c r="P188" s="13"/>
      <c r="Q188" s="32"/>
      <c r="R188" s="32"/>
    </row>
    <row r="189" spans="1:18" ht="42" customHeight="1" x14ac:dyDescent="0.25">
      <c r="A189" s="5">
        <v>178</v>
      </c>
      <c r="B189" s="13"/>
      <c r="C189" s="13"/>
      <c r="D189" s="13"/>
      <c r="E189" s="13"/>
      <c r="F189" s="13"/>
      <c r="G189" s="13"/>
      <c r="H189" s="13"/>
      <c r="I189" s="13"/>
      <c r="J189" s="14"/>
      <c r="K189" s="13"/>
      <c r="L189" s="13"/>
      <c r="M189" s="13"/>
      <c r="N189" s="13"/>
      <c r="O189" s="13"/>
      <c r="P189" s="13"/>
      <c r="Q189" s="32"/>
      <c r="R189" s="32"/>
    </row>
    <row r="190" spans="1:18" ht="42" customHeight="1" x14ac:dyDescent="0.25">
      <c r="A190" s="5">
        <v>179</v>
      </c>
      <c r="B190" s="13"/>
      <c r="C190" s="13"/>
      <c r="D190" s="13"/>
      <c r="E190" s="13"/>
      <c r="F190" s="13"/>
      <c r="G190" s="13"/>
      <c r="H190" s="13"/>
      <c r="I190" s="13"/>
      <c r="J190" s="14"/>
      <c r="K190" s="13"/>
      <c r="L190" s="13"/>
      <c r="M190" s="13"/>
      <c r="N190" s="13"/>
      <c r="O190" s="13"/>
      <c r="P190" s="13"/>
      <c r="Q190" s="32"/>
      <c r="R190" s="32"/>
    </row>
    <row r="191" spans="1:18" ht="42" customHeight="1" x14ac:dyDescent="0.25">
      <c r="A191" s="5">
        <v>180</v>
      </c>
      <c r="B191" s="13"/>
      <c r="C191" s="13"/>
      <c r="D191" s="13"/>
      <c r="E191" s="13"/>
      <c r="F191" s="13"/>
      <c r="G191" s="13"/>
      <c r="H191" s="13"/>
      <c r="I191" s="13"/>
      <c r="J191" s="14"/>
      <c r="K191" s="13"/>
      <c r="L191" s="13"/>
      <c r="M191" s="13"/>
      <c r="N191" s="13"/>
      <c r="O191" s="13"/>
      <c r="P191" s="13"/>
      <c r="Q191" s="32"/>
      <c r="R191" s="32"/>
    </row>
    <row r="192" spans="1:18" ht="42" customHeight="1" x14ac:dyDescent="0.25">
      <c r="A192" s="5">
        <v>181</v>
      </c>
      <c r="B192" s="13"/>
      <c r="C192" s="13"/>
      <c r="D192" s="13"/>
      <c r="E192" s="13"/>
      <c r="F192" s="13"/>
      <c r="G192" s="13"/>
      <c r="H192" s="13"/>
      <c r="I192" s="13"/>
      <c r="J192" s="14"/>
      <c r="K192" s="13"/>
      <c r="L192" s="13"/>
      <c r="M192" s="13"/>
      <c r="N192" s="13"/>
      <c r="O192" s="13"/>
      <c r="P192" s="13"/>
      <c r="Q192" s="32"/>
      <c r="R192" s="32"/>
    </row>
    <row r="193" spans="1:18" ht="42" customHeight="1" x14ac:dyDescent="0.25">
      <c r="A193" s="5">
        <v>182</v>
      </c>
      <c r="B193" s="13"/>
      <c r="C193" s="13"/>
      <c r="D193" s="13"/>
      <c r="E193" s="13"/>
      <c r="F193" s="13"/>
      <c r="G193" s="13"/>
      <c r="H193" s="13"/>
      <c r="I193" s="13"/>
      <c r="J193" s="14"/>
      <c r="K193" s="13"/>
      <c r="L193" s="13"/>
      <c r="M193" s="13"/>
      <c r="N193" s="13"/>
      <c r="O193" s="13"/>
      <c r="P193" s="13"/>
      <c r="Q193" s="32"/>
      <c r="R193" s="32"/>
    </row>
    <row r="194" spans="1:18" ht="42" customHeight="1" x14ac:dyDescent="0.25">
      <c r="A194" s="5">
        <v>183</v>
      </c>
      <c r="B194" s="13"/>
      <c r="C194" s="13"/>
      <c r="D194" s="13"/>
      <c r="E194" s="13"/>
      <c r="F194" s="13"/>
      <c r="G194" s="13"/>
      <c r="H194" s="13"/>
      <c r="I194" s="13"/>
      <c r="J194" s="14"/>
      <c r="K194" s="13"/>
      <c r="L194" s="13"/>
      <c r="M194" s="13"/>
      <c r="N194" s="13"/>
      <c r="O194" s="13"/>
      <c r="P194" s="13"/>
      <c r="Q194" s="32"/>
      <c r="R194" s="32"/>
    </row>
    <row r="195" spans="1:18" ht="42" customHeight="1" x14ac:dyDescent="0.25">
      <c r="A195" s="5">
        <v>184</v>
      </c>
      <c r="B195" s="13"/>
      <c r="C195" s="13"/>
      <c r="D195" s="13"/>
      <c r="E195" s="13"/>
      <c r="F195" s="13"/>
      <c r="G195" s="13"/>
      <c r="H195" s="13"/>
      <c r="I195" s="13"/>
      <c r="J195" s="14"/>
      <c r="K195" s="13"/>
      <c r="L195" s="13"/>
      <c r="M195" s="13"/>
      <c r="N195" s="13"/>
      <c r="O195" s="13"/>
      <c r="P195" s="13"/>
      <c r="Q195" s="32"/>
      <c r="R195" s="32"/>
    </row>
    <row r="196" spans="1:18" ht="42" customHeight="1" x14ac:dyDescent="0.25">
      <c r="A196" s="5">
        <v>185</v>
      </c>
      <c r="B196" s="13"/>
      <c r="C196" s="13"/>
      <c r="D196" s="13"/>
      <c r="E196" s="13"/>
      <c r="F196" s="13"/>
      <c r="G196" s="13"/>
      <c r="H196" s="13"/>
      <c r="I196" s="13"/>
      <c r="J196" s="14"/>
      <c r="K196" s="13"/>
      <c r="L196" s="13"/>
      <c r="M196" s="13"/>
      <c r="N196" s="13"/>
      <c r="O196" s="13"/>
      <c r="P196" s="13"/>
      <c r="Q196" s="32"/>
      <c r="R196" s="32"/>
    </row>
    <row r="197" spans="1:18" ht="42" customHeight="1" x14ac:dyDescent="0.25">
      <c r="A197" s="5">
        <v>186</v>
      </c>
      <c r="B197" s="13"/>
      <c r="C197" s="13"/>
      <c r="D197" s="13"/>
      <c r="E197" s="13"/>
      <c r="F197" s="13"/>
      <c r="G197" s="13"/>
      <c r="H197" s="13"/>
      <c r="I197" s="13"/>
      <c r="J197" s="14"/>
      <c r="K197" s="13"/>
      <c r="L197" s="13"/>
      <c r="M197" s="13"/>
      <c r="N197" s="13"/>
      <c r="O197" s="13"/>
      <c r="P197" s="13"/>
      <c r="Q197" s="32"/>
      <c r="R197" s="32"/>
    </row>
    <row r="198" spans="1:18" ht="42" customHeight="1" x14ac:dyDescent="0.25">
      <c r="A198" s="5">
        <v>187</v>
      </c>
      <c r="B198" s="13"/>
      <c r="C198" s="13"/>
      <c r="D198" s="13"/>
      <c r="E198" s="13"/>
      <c r="F198" s="13"/>
      <c r="G198" s="13"/>
      <c r="H198" s="13"/>
      <c r="I198" s="13"/>
      <c r="J198" s="14"/>
      <c r="K198" s="13"/>
      <c r="L198" s="13"/>
      <c r="M198" s="13"/>
      <c r="N198" s="13"/>
      <c r="O198" s="13"/>
      <c r="P198" s="13"/>
      <c r="Q198" s="32"/>
      <c r="R198" s="32"/>
    </row>
    <row r="199" spans="1:18" ht="42" customHeight="1" x14ac:dyDescent="0.25">
      <c r="A199" s="5">
        <v>188</v>
      </c>
      <c r="B199" s="13"/>
      <c r="C199" s="13"/>
      <c r="D199" s="13"/>
      <c r="E199" s="13"/>
      <c r="F199" s="13"/>
      <c r="G199" s="13"/>
      <c r="H199" s="13"/>
      <c r="I199" s="13"/>
      <c r="J199" s="14"/>
      <c r="K199" s="13"/>
      <c r="L199" s="13"/>
      <c r="M199" s="13"/>
      <c r="N199" s="13"/>
      <c r="O199" s="13"/>
      <c r="P199" s="13"/>
      <c r="Q199" s="32"/>
      <c r="R199" s="32"/>
    </row>
    <row r="200" spans="1:18" ht="42" customHeight="1" x14ac:dyDescent="0.25">
      <c r="A200" s="5">
        <v>189</v>
      </c>
      <c r="B200" s="13"/>
      <c r="C200" s="13"/>
      <c r="D200" s="13"/>
      <c r="E200" s="13"/>
      <c r="F200" s="13"/>
      <c r="G200" s="13"/>
      <c r="H200" s="13"/>
      <c r="I200" s="13"/>
      <c r="J200" s="14"/>
      <c r="K200" s="13"/>
      <c r="L200" s="13"/>
      <c r="M200" s="13"/>
      <c r="N200" s="13"/>
      <c r="O200" s="13"/>
      <c r="P200" s="13"/>
      <c r="Q200" s="32"/>
      <c r="R200" s="32"/>
    </row>
    <row r="201" spans="1:18" ht="42" customHeight="1" x14ac:dyDescent="0.25">
      <c r="A201" s="5">
        <v>190</v>
      </c>
      <c r="B201" s="13"/>
      <c r="C201" s="13"/>
      <c r="D201" s="13"/>
      <c r="E201" s="13"/>
      <c r="F201" s="13"/>
      <c r="G201" s="13"/>
      <c r="H201" s="13"/>
      <c r="I201" s="13"/>
      <c r="J201" s="14"/>
      <c r="K201" s="13"/>
      <c r="L201" s="13"/>
      <c r="M201" s="13"/>
      <c r="N201" s="13"/>
      <c r="O201" s="13"/>
      <c r="P201" s="13"/>
      <c r="Q201" s="32"/>
      <c r="R201" s="32"/>
    </row>
    <row r="202" spans="1:18" ht="42" customHeight="1" x14ac:dyDescent="0.25">
      <c r="A202" s="5">
        <v>191</v>
      </c>
      <c r="B202" s="13"/>
      <c r="C202" s="13"/>
      <c r="D202" s="13"/>
      <c r="E202" s="13"/>
      <c r="F202" s="13"/>
      <c r="G202" s="13"/>
      <c r="H202" s="13"/>
      <c r="I202" s="13"/>
      <c r="J202" s="14"/>
      <c r="K202" s="13"/>
      <c r="L202" s="13"/>
      <c r="M202" s="13"/>
      <c r="N202" s="13"/>
      <c r="O202" s="13"/>
      <c r="P202" s="13"/>
      <c r="Q202" s="32"/>
      <c r="R202" s="32"/>
    </row>
    <row r="203" spans="1:18" ht="42" customHeight="1" x14ac:dyDescent="0.25">
      <c r="A203" s="5">
        <v>192</v>
      </c>
      <c r="B203" s="13"/>
      <c r="C203" s="13"/>
      <c r="D203" s="13"/>
      <c r="E203" s="13"/>
      <c r="F203" s="13"/>
      <c r="G203" s="13"/>
      <c r="H203" s="13"/>
      <c r="I203" s="13"/>
      <c r="J203" s="14"/>
      <c r="K203" s="13"/>
      <c r="L203" s="13"/>
      <c r="M203" s="13"/>
      <c r="N203" s="13"/>
      <c r="O203" s="13"/>
      <c r="P203" s="13"/>
      <c r="Q203" s="32"/>
      <c r="R203" s="32"/>
    </row>
    <row r="204" spans="1:18" ht="42" customHeight="1" x14ac:dyDescent="0.25">
      <c r="A204" s="5">
        <v>193</v>
      </c>
      <c r="B204" s="13"/>
      <c r="C204" s="13"/>
      <c r="D204" s="13"/>
      <c r="E204" s="13"/>
      <c r="F204" s="13"/>
      <c r="G204" s="13"/>
      <c r="H204" s="13"/>
      <c r="I204" s="13"/>
      <c r="J204" s="14"/>
      <c r="K204" s="13"/>
      <c r="L204" s="13"/>
      <c r="M204" s="13"/>
      <c r="N204" s="13"/>
      <c r="O204" s="13"/>
      <c r="P204" s="13"/>
      <c r="Q204" s="32"/>
      <c r="R204" s="32"/>
    </row>
    <row r="205" spans="1:18" ht="42" customHeight="1" x14ac:dyDescent="0.25">
      <c r="A205" s="5">
        <v>194</v>
      </c>
      <c r="B205" s="13"/>
      <c r="C205" s="13"/>
      <c r="D205" s="13"/>
      <c r="E205" s="13"/>
      <c r="F205" s="13"/>
      <c r="G205" s="13"/>
      <c r="H205" s="13"/>
      <c r="I205" s="13"/>
      <c r="J205" s="14"/>
      <c r="K205" s="13"/>
      <c r="L205" s="13"/>
      <c r="M205" s="13"/>
      <c r="N205" s="13"/>
      <c r="O205" s="13"/>
      <c r="P205" s="13"/>
      <c r="Q205" s="32"/>
      <c r="R205" s="32"/>
    </row>
    <row r="206" spans="1:18" ht="42" customHeight="1" x14ac:dyDescent="0.25">
      <c r="A206" s="5">
        <v>195</v>
      </c>
      <c r="B206" s="13"/>
      <c r="C206" s="13"/>
      <c r="D206" s="13"/>
      <c r="E206" s="13"/>
      <c r="F206" s="13"/>
      <c r="G206" s="13"/>
      <c r="H206" s="13"/>
      <c r="I206" s="13"/>
      <c r="J206" s="14"/>
      <c r="K206" s="13"/>
      <c r="L206" s="13"/>
      <c r="M206" s="13"/>
      <c r="N206" s="13"/>
      <c r="O206" s="13"/>
      <c r="P206" s="13"/>
      <c r="Q206" s="32"/>
      <c r="R206" s="32"/>
    </row>
    <row r="207" spans="1:18" ht="42" customHeight="1" x14ac:dyDescent="0.25">
      <c r="A207" s="5">
        <v>196</v>
      </c>
      <c r="B207" s="13"/>
      <c r="C207" s="13"/>
      <c r="D207" s="13"/>
      <c r="E207" s="13"/>
      <c r="F207" s="13"/>
      <c r="G207" s="13"/>
      <c r="H207" s="13"/>
      <c r="I207" s="13"/>
      <c r="J207" s="14"/>
      <c r="K207" s="13"/>
      <c r="L207" s="13"/>
      <c r="M207" s="13"/>
      <c r="N207" s="13"/>
      <c r="O207" s="13"/>
      <c r="P207" s="13"/>
      <c r="Q207" s="32"/>
      <c r="R207" s="32"/>
    </row>
    <row r="208" spans="1:18" ht="42" customHeight="1" x14ac:dyDescent="0.25">
      <c r="A208" s="5">
        <v>197</v>
      </c>
      <c r="B208" s="13"/>
      <c r="C208" s="13"/>
      <c r="D208" s="13"/>
      <c r="E208" s="13"/>
      <c r="F208" s="13"/>
      <c r="G208" s="13"/>
      <c r="H208" s="13"/>
      <c r="I208" s="13"/>
      <c r="J208" s="14"/>
      <c r="K208" s="13"/>
      <c r="L208" s="13"/>
      <c r="M208" s="13"/>
      <c r="N208" s="13"/>
      <c r="O208" s="13"/>
      <c r="P208" s="13"/>
      <c r="Q208" s="32"/>
      <c r="R208" s="32"/>
    </row>
    <row r="209" spans="1:18" ht="42" customHeight="1" x14ac:dyDescent="0.25">
      <c r="A209" s="5">
        <v>198</v>
      </c>
      <c r="B209" s="13"/>
      <c r="C209" s="13"/>
      <c r="D209" s="13"/>
      <c r="E209" s="13"/>
      <c r="F209" s="13"/>
      <c r="G209" s="13"/>
      <c r="H209" s="13"/>
      <c r="I209" s="13"/>
      <c r="J209" s="14"/>
      <c r="K209" s="13"/>
      <c r="L209" s="13"/>
      <c r="M209" s="13"/>
      <c r="N209" s="13"/>
      <c r="O209" s="13"/>
      <c r="P209" s="13"/>
      <c r="Q209" s="32"/>
      <c r="R209" s="32"/>
    </row>
    <row r="210" spans="1:18" ht="42" customHeight="1" x14ac:dyDescent="0.25">
      <c r="A210" s="5">
        <v>199</v>
      </c>
      <c r="B210" s="13"/>
      <c r="C210" s="13"/>
      <c r="D210" s="13"/>
      <c r="E210" s="13"/>
      <c r="F210" s="13"/>
      <c r="G210" s="13"/>
      <c r="H210" s="13"/>
      <c r="I210" s="13"/>
      <c r="J210" s="14"/>
      <c r="K210" s="13"/>
      <c r="L210" s="13"/>
      <c r="M210" s="13"/>
      <c r="N210" s="13"/>
      <c r="O210" s="13"/>
      <c r="P210" s="13"/>
      <c r="Q210" s="32"/>
      <c r="R210" s="32"/>
    </row>
    <row r="211" spans="1:18" ht="42" customHeight="1" x14ac:dyDescent="0.25">
      <c r="A211" s="5">
        <v>200</v>
      </c>
      <c r="B211" s="13"/>
      <c r="C211" s="13"/>
      <c r="D211" s="13"/>
      <c r="E211" s="13"/>
      <c r="F211" s="13"/>
      <c r="G211" s="13"/>
      <c r="H211" s="13"/>
      <c r="I211" s="13"/>
      <c r="J211" s="14"/>
      <c r="K211" s="13"/>
      <c r="L211" s="13"/>
      <c r="M211" s="13"/>
      <c r="N211" s="13"/>
      <c r="O211" s="13"/>
      <c r="P211" s="13"/>
      <c r="Q211" s="32"/>
      <c r="R211" s="32"/>
    </row>
    <row r="212" spans="1:18" ht="42" customHeight="1" x14ac:dyDescent="0.25">
      <c r="A212" s="5">
        <v>201</v>
      </c>
      <c r="B212" s="13"/>
      <c r="C212" s="13"/>
      <c r="D212" s="13"/>
      <c r="E212" s="13"/>
      <c r="F212" s="13"/>
      <c r="G212" s="13"/>
      <c r="H212" s="13"/>
      <c r="I212" s="13"/>
      <c r="J212" s="14"/>
      <c r="K212" s="13"/>
      <c r="L212" s="13"/>
      <c r="M212" s="13"/>
      <c r="N212" s="13"/>
      <c r="O212" s="13"/>
      <c r="P212" s="13"/>
      <c r="Q212" s="32"/>
      <c r="R212" s="32"/>
    </row>
    <row r="213" spans="1:18" ht="42" customHeight="1" x14ac:dyDescent="0.25">
      <c r="A213" s="5">
        <v>202</v>
      </c>
      <c r="B213" s="13"/>
      <c r="C213" s="13"/>
      <c r="D213" s="13"/>
      <c r="E213" s="13"/>
      <c r="F213" s="13"/>
      <c r="G213" s="13"/>
      <c r="H213" s="13"/>
      <c r="I213" s="13"/>
      <c r="J213" s="14"/>
      <c r="K213" s="13"/>
      <c r="L213" s="13"/>
      <c r="M213" s="13"/>
      <c r="N213" s="13"/>
      <c r="O213" s="13"/>
      <c r="P213" s="13"/>
      <c r="Q213" s="32"/>
      <c r="R213" s="32"/>
    </row>
    <row r="214" spans="1:18" ht="42" customHeight="1" x14ac:dyDescent="0.25">
      <c r="A214" s="5">
        <v>203</v>
      </c>
      <c r="B214" s="13"/>
      <c r="C214" s="13"/>
      <c r="D214" s="13"/>
      <c r="E214" s="13"/>
      <c r="F214" s="13"/>
      <c r="G214" s="13"/>
      <c r="H214" s="13"/>
      <c r="I214" s="13"/>
      <c r="J214" s="14"/>
      <c r="K214" s="13"/>
      <c r="L214" s="13"/>
      <c r="M214" s="13"/>
      <c r="N214" s="13"/>
      <c r="O214" s="13"/>
      <c r="P214" s="13"/>
      <c r="Q214" s="32"/>
      <c r="R214" s="32"/>
    </row>
    <row r="215" spans="1:18" ht="42" customHeight="1" x14ac:dyDescent="0.25">
      <c r="A215" s="5">
        <v>204</v>
      </c>
      <c r="B215" s="13"/>
      <c r="C215" s="13"/>
      <c r="D215" s="13"/>
      <c r="E215" s="13"/>
      <c r="F215" s="13"/>
      <c r="G215" s="13"/>
      <c r="H215" s="13"/>
      <c r="I215" s="13"/>
      <c r="J215" s="14"/>
      <c r="K215" s="13"/>
      <c r="L215" s="13"/>
      <c r="M215" s="13"/>
      <c r="N215" s="13"/>
      <c r="O215" s="13"/>
      <c r="P215" s="13"/>
      <c r="Q215" s="32"/>
      <c r="R215" s="32"/>
    </row>
    <row r="216" spans="1:18" ht="42" customHeight="1" x14ac:dyDescent="0.25">
      <c r="A216" s="5">
        <v>205</v>
      </c>
      <c r="B216" s="13"/>
      <c r="C216" s="13"/>
      <c r="D216" s="13"/>
      <c r="E216" s="13"/>
      <c r="F216" s="13"/>
      <c r="G216" s="13"/>
      <c r="H216" s="13"/>
      <c r="I216" s="13"/>
      <c r="J216" s="14"/>
      <c r="K216" s="13"/>
      <c r="L216" s="13"/>
      <c r="M216" s="13"/>
      <c r="N216" s="13"/>
      <c r="O216" s="13"/>
      <c r="P216" s="13"/>
      <c r="Q216" s="32"/>
      <c r="R216" s="32"/>
    </row>
    <row r="217" spans="1:18" ht="42" customHeight="1" x14ac:dyDescent="0.25">
      <c r="A217" s="5">
        <v>206</v>
      </c>
      <c r="B217" s="13"/>
      <c r="C217" s="13"/>
      <c r="D217" s="13"/>
      <c r="E217" s="13"/>
      <c r="F217" s="13"/>
      <c r="G217" s="13"/>
      <c r="H217" s="13"/>
      <c r="I217" s="13"/>
      <c r="J217" s="14"/>
      <c r="K217" s="13"/>
      <c r="L217" s="13"/>
      <c r="M217" s="13"/>
      <c r="N217" s="13"/>
      <c r="O217" s="13"/>
      <c r="P217" s="13"/>
      <c r="Q217" s="32"/>
      <c r="R217" s="32"/>
    </row>
    <row r="218" spans="1:18" ht="42" customHeight="1" x14ac:dyDescent="0.25">
      <c r="A218" s="5">
        <v>207</v>
      </c>
      <c r="B218" s="13"/>
      <c r="C218" s="13"/>
      <c r="D218" s="13"/>
      <c r="E218" s="13"/>
      <c r="F218" s="13"/>
      <c r="G218" s="13"/>
      <c r="H218" s="13"/>
      <c r="I218" s="13"/>
      <c r="J218" s="14"/>
      <c r="K218" s="13"/>
      <c r="L218" s="13"/>
      <c r="M218" s="13"/>
      <c r="N218" s="13"/>
      <c r="O218" s="13"/>
      <c r="P218" s="13"/>
      <c r="Q218" s="32"/>
      <c r="R218" s="32"/>
    </row>
    <row r="219" spans="1:18" ht="42" customHeight="1" x14ac:dyDescent="0.25">
      <c r="A219" s="5">
        <v>208</v>
      </c>
      <c r="B219" s="13"/>
      <c r="C219" s="13"/>
      <c r="D219" s="13"/>
      <c r="E219" s="13"/>
      <c r="F219" s="13"/>
      <c r="G219" s="13"/>
      <c r="H219" s="13"/>
      <c r="I219" s="13"/>
      <c r="J219" s="14"/>
      <c r="K219" s="13"/>
      <c r="L219" s="13"/>
      <c r="M219" s="13"/>
      <c r="N219" s="13"/>
      <c r="O219" s="13"/>
      <c r="P219" s="13"/>
      <c r="Q219" s="32"/>
      <c r="R219" s="32"/>
    </row>
    <row r="220" spans="1:18" ht="42" customHeight="1" x14ac:dyDescent="0.25">
      <c r="A220" s="5">
        <v>209</v>
      </c>
      <c r="B220" s="13"/>
      <c r="C220" s="13"/>
      <c r="D220" s="13"/>
      <c r="E220" s="13"/>
      <c r="F220" s="13"/>
      <c r="G220" s="13"/>
      <c r="H220" s="13"/>
      <c r="I220" s="13"/>
      <c r="J220" s="14"/>
      <c r="K220" s="13"/>
      <c r="L220" s="13"/>
      <c r="M220" s="13"/>
      <c r="N220" s="13"/>
      <c r="O220" s="13"/>
      <c r="P220" s="13"/>
      <c r="Q220" s="32"/>
      <c r="R220" s="32"/>
    </row>
    <row r="221" spans="1:18" ht="42" customHeight="1" x14ac:dyDescent="0.25">
      <c r="A221" s="5">
        <v>210</v>
      </c>
      <c r="B221" s="13"/>
      <c r="C221" s="13"/>
      <c r="D221" s="13"/>
      <c r="E221" s="13"/>
      <c r="F221" s="13"/>
      <c r="G221" s="13"/>
      <c r="H221" s="13"/>
      <c r="I221" s="13"/>
      <c r="J221" s="14"/>
      <c r="K221" s="13"/>
      <c r="L221" s="13"/>
      <c r="M221" s="13"/>
      <c r="N221" s="13"/>
      <c r="O221" s="13"/>
      <c r="P221" s="13"/>
      <c r="Q221" s="32"/>
      <c r="R221" s="32"/>
    </row>
    <row r="222" spans="1:18" ht="42" customHeight="1" x14ac:dyDescent="0.25">
      <c r="A222" s="5">
        <v>211</v>
      </c>
      <c r="B222" s="13"/>
      <c r="C222" s="13"/>
      <c r="D222" s="13"/>
      <c r="E222" s="13"/>
      <c r="F222" s="13"/>
      <c r="G222" s="13"/>
      <c r="H222" s="13"/>
      <c r="I222" s="13"/>
      <c r="J222" s="14"/>
      <c r="K222" s="13"/>
      <c r="L222" s="13"/>
      <c r="M222" s="13"/>
      <c r="N222" s="13"/>
      <c r="O222" s="13"/>
      <c r="P222" s="13"/>
      <c r="Q222" s="32"/>
      <c r="R222" s="32"/>
    </row>
    <row r="223" spans="1:18" ht="42" customHeight="1" x14ac:dyDescent="0.25">
      <c r="A223" s="5">
        <v>212</v>
      </c>
      <c r="B223" s="13"/>
      <c r="C223" s="13"/>
      <c r="D223" s="13"/>
      <c r="E223" s="13"/>
      <c r="F223" s="13"/>
      <c r="G223" s="13"/>
      <c r="H223" s="13"/>
      <c r="I223" s="13"/>
      <c r="J223" s="14"/>
      <c r="K223" s="13"/>
      <c r="L223" s="13"/>
      <c r="M223" s="13"/>
      <c r="N223" s="13"/>
      <c r="O223" s="13"/>
      <c r="P223" s="13"/>
      <c r="Q223" s="32"/>
      <c r="R223" s="32"/>
    </row>
    <row r="224" spans="1:18" ht="42" customHeight="1" x14ac:dyDescent="0.25">
      <c r="A224" s="5">
        <v>213</v>
      </c>
      <c r="B224" s="13"/>
      <c r="C224" s="13"/>
      <c r="D224" s="13"/>
      <c r="E224" s="13"/>
      <c r="F224" s="13"/>
      <c r="G224" s="13"/>
      <c r="H224" s="13"/>
      <c r="I224" s="13"/>
      <c r="J224" s="14"/>
      <c r="K224" s="13"/>
      <c r="L224" s="13"/>
      <c r="M224" s="13"/>
      <c r="N224" s="13"/>
      <c r="O224" s="13"/>
      <c r="P224" s="13"/>
      <c r="Q224" s="32"/>
      <c r="R224" s="32"/>
    </row>
    <row r="225" spans="1:18" ht="42" customHeight="1" x14ac:dyDescent="0.25">
      <c r="A225" s="5">
        <v>214</v>
      </c>
      <c r="B225" s="13"/>
      <c r="C225" s="13"/>
      <c r="D225" s="13"/>
      <c r="E225" s="13"/>
      <c r="F225" s="13"/>
      <c r="G225" s="13"/>
      <c r="H225" s="13"/>
      <c r="I225" s="13"/>
      <c r="J225" s="14"/>
      <c r="K225" s="13"/>
      <c r="L225" s="13"/>
      <c r="M225" s="13"/>
      <c r="N225" s="13"/>
      <c r="O225" s="13"/>
      <c r="P225" s="13"/>
      <c r="Q225" s="32"/>
      <c r="R225" s="32"/>
    </row>
    <row r="226" spans="1:18" ht="42" customHeight="1" x14ac:dyDescent="0.25">
      <c r="A226" s="5">
        <v>215</v>
      </c>
      <c r="B226" s="13"/>
      <c r="C226" s="13"/>
      <c r="D226" s="13"/>
      <c r="E226" s="13"/>
      <c r="F226" s="13"/>
      <c r="G226" s="13"/>
      <c r="H226" s="13"/>
      <c r="I226" s="13"/>
      <c r="J226" s="14"/>
      <c r="K226" s="13"/>
      <c r="L226" s="13"/>
      <c r="M226" s="13"/>
      <c r="N226" s="13"/>
      <c r="O226" s="13"/>
      <c r="P226" s="13"/>
      <c r="Q226" s="32"/>
      <c r="R226" s="32"/>
    </row>
    <row r="227" spans="1:18" ht="42" customHeight="1" x14ac:dyDescent="0.25">
      <c r="A227" s="5">
        <v>216</v>
      </c>
      <c r="B227" s="13"/>
      <c r="C227" s="13"/>
      <c r="D227" s="13"/>
      <c r="E227" s="13"/>
      <c r="F227" s="13"/>
      <c r="G227" s="13"/>
      <c r="H227" s="13"/>
      <c r="I227" s="13"/>
      <c r="J227" s="14"/>
      <c r="K227" s="13"/>
      <c r="L227" s="13"/>
      <c r="M227" s="13"/>
      <c r="N227" s="13"/>
      <c r="O227" s="13"/>
      <c r="P227" s="13"/>
      <c r="Q227" s="32"/>
      <c r="R227" s="32"/>
    </row>
    <row r="228" spans="1:18" ht="42" customHeight="1" x14ac:dyDescent="0.25">
      <c r="A228" s="5">
        <v>217</v>
      </c>
      <c r="B228" s="13"/>
      <c r="C228" s="13"/>
      <c r="D228" s="13"/>
      <c r="E228" s="13"/>
      <c r="F228" s="13"/>
      <c r="G228" s="13"/>
      <c r="H228" s="13"/>
      <c r="I228" s="13"/>
      <c r="J228" s="14"/>
      <c r="K228" s="13"/>
      <c r="L228" s="13"/>
      <c r="M228" s="13"/>
      <c r="N228" s="13"/>
      <c r="O228" s="13"/>
      <c r="P228" s="13"/>
      <c r="Q228" s="32"/>
      <c r="R228" s="32"/>
    </row>
    <row r="229" spans="1:18" ht="42" customHeight="1" x14ac:dyDescent="0.25">
      <c r="A229" s="5">
        <v>218</v>
      </c>
      <c r="B229" s="13"/>
      <c r="C229" s="13"/>
      <c r="D229" s="13"/>
      <c r="E229" s="13"/>
      <c r="F229" s="13"/>
      <c r="G229" s="13"/>
      <c r="H229" s="13"/>
      <c r="I229" s="13"/>
      <c r="J229" s="14"/>
      <c r="K229" s="13"/>
      <c r="L229" s="13"/>
      <c r="M229" s="13"/>
      <c r="N229" s="13"/>
      <c r="O229" s="13"/>
      <c r="P229" s="13"/>
      <c r="Q229" s="32"/>
      <c r="R229" s="32"/>
    </row>
    <row r="230" spans="1:18" ht="42" customHeight="1" x14ac:dyDescent="0.25">
      <c r="A230" s="5">
        <v>219</v>
      </c>
      <c r="B230" s="13"/>
      <c r="C230" s="13"/>
      <c r="D230" s="13"/>
      <c r="E230" s="13"/>
      <c r="F230" s="13"/>
      <c r="G230" s="13"/>
      <c r="H230" s="13"/>
      <c r="I230" s="13"/>
      <c r="J230" s="14"/>
      <c r="K230" s="13"/>
      <c r="L230" s="13"/>
      <c r="M230" s="13"/>
      <c r="N230" s="13"/>
      <c r="O230" s="13"/>
      <c r="P230" s="13"/>
      <c r="Q230" s="32"/>
      <c r="R230" s="32"/>
    </row>
    <row r="231" spans="1:18" ht="42" customHeight="1" x14ac:dyDescent="0.25">
      <c r="A231" s="5">
        <v>220</v>
      </c>
      <c r="B231" s="13"/>
      <c r="C231" s="13"/>
      <c r="D231" s="13"/>
      <c r="E231" s="13"/>
      <c r="F231" s="13"/>
      <c r="G231" s="13"/>
      <c r="H231" s="13"/>
      <c r="I231" s="13"/>
      <c r="J231" s="14"/>
      <c r="K231" s="13"/>
      <c r="L231" s="13"/>
      <c r="M231" s="13"/>
      <c r="N231" s="13"/>
      <c r="O231" s="13"/>
      <c r="P231" s="13"/>
      <c r="Q231" s="32"/>
      <c r="R231" s="32"/>
    </row>
    <row r="232" spans="1:18" ht="42" customHeight="1" x14ac:dyDescent="0.25">
      <c r="A232" s="5">
        <v>221</v>
      </c>
      <c r="B232" s="13"/>
      <c r="C232" s="13"/>
      <c r="D232" s="13"/>
      <c r="E232" s="13"/>
      <c r="F232" s="13"/>
      <c r="G232" s="13"/>
      <c r="H232" s="13"/>
      <c r="I232" s="13"/>
      <c r="J232" s="14"/>
      <c r="K232" s="13"/>
      <c r="L232" s="13"/>
      <c r="M232" s="13"/>
      <c r="N232" s="13"/>
      <c r="O232" s="13"/>
      <c r="P232" s="13"/>
      <c r="Q232" s="32"/>
      <c r="R232" s="32"/>
    </row>
    <row r="233" spans="1:18" ht="42" customHeight="1" x14ac:dyDescent="0.25">
      <c r="A233" s="5">
        <v>222</v>
      </c>
      <c r="B233" s="13"/>
      <c r="C233" s="13"/>
      <c r="D233" s="13"/>
      <c r="E233" s="13"/>
      <c r="F233" s="13"/>
      <c r="G233" s="13"/>
      <c r="H233" s="13"/>
      <c r="I233" s="13"/>
      <c r="J233" s="14"/>
      <c r="K233" s="13"/>
      <c r="L233" s="13"/>
      <c r="M233" s="13"/>
      <c r="N233" s="13"/>
      <c r="O233" s="13"/>
      <c r="P233" s="13"/>
      <c r="Q233" s="32"/>
      <c r="R233" s="32"/>
    </row>
    <row r="234" spans="1:18" ht="42" customHeight="1" x14ac:dyDescent="0.25">
      <c r="A234" s="5">
        <v>223</v>
      </c>
      <c r="B234" s="13"/>
      <c r="C234" s="13"/>
      <c r="D234" s="13"/>
      <c r="E234" s="13"/>
      <c r="F234" s="13"/>
      <c r="G234" s="13"/>
      <c r="H234" s="13"/>
      <c r="I234" s="13"/>
      <c r="J234" s="14"/>
      <c r="K234" s="13"/>
      <c r="L234" s="13"/>
      <c r="M234" s="13"/>
      <c r="N234" s="13"/>
      <c r="O234" s="13"/>
      <c r="P234" s="13"/>
      <c r="Q234" s="32"/>
      <c r="R234" s="32"/>
    </row>
    <row r="235" spans="1:18" ht="42" customHeight="1" x14ac:dyDescent="0.25">
      <c r="A235" s="5">
        <v>224</v>
      </c>
      <c r="B235" s="13"/>
      <c r="C235" s="13"/>
      <c r="D235" s="13"/>
      <c r="E235" s="13"/>
      <c r="F235" s="13"/>
      <c r="G235" s="13"/>
      <c r="H235" s="13"/>
      <c r="I235" s="13"/>
      <c r="J235" s="14"/>
      <c r="K235" s="13"/>
      <c r="L235" s="13"/>
      <c r="M235" s="13"/>
      <c r="N235" s="13"/>
      <c r="O235" s="13"/>
      <c r="P235" s="13"/>
      <c r="Q235" s="32"/>
      <c r="R235" s="32"/>
    </row>
    <row r="236" spans="1:18" ht="42" customHeight="1" x14ac:dyDescent="0.25">
      <c r="A236" s="5">
        <v>225</v>
      </c>
      <c r="B236" s="13"/>
      <c r="C236" s="13"/>
      <c r="D236" s="13"/>
      <c r="E236" s="13"/>
      <c r="F236" s="13"/>
      <c r="G236" s="13"/>
      <c r="H236" s="13"/>
      <c r="I236" s="13"/>
      <c r="J236" s="14"/>
      <c r="K236" s="13"/>
      <c r="L236" s="13"/>
      <c r="M236" s="13"/>
      <c r="N236" s="13"/>
      <c r="O236" s="13"/>
      <c r="P236" s="13"/>
      <c r="Q236" s="32"/>
      <c r="R236" s="32"/>
    </row>
    <row r="237" spans="1:18" ht="42" customHeight="1" x14ac:dyDescent="0.25">
      <c r="A237" s="5">
        <v>226</v>
      </c>
      <c r="B237" s="13"/>
      <c r="C237" s="13"/>
      <c r="D237" s="13"/>
      <c r="E237" s="13"/>
      <c r="F237" s="13"/>
      <c r="G237" s="13"/>
      <c r="H237" s="13"/>
      <c r="I237" s="13"/>
      <c r="J237" s="14"/>
      <c r="K237" s="13"/>
      <c r="L237" s="13"/>
      <c r="M237" s="13"/>
      <c r="N237" s="13"/>
      <c r="O237" s="13"/>
      <c r="P237" s="13"/>
      <c r="Q237" s="32"/>
      <c r="R237" s="32"/>
    </row>
    <row r="238" spans="1:18" ht="42" customHeight="1" x14ac:dyDescent="0.25">
      <c r="A238" s="5">
        <v>227</v>
      </c>
      <c r="B238" s="13"/>
      <c r="C238" s="13"/>
      <c r="D238" s="13"/>
      <c r="E238" s="13"/>
      <c r="F238" s="13"/>
      <c r="G238" s="13"/>
      <c r="H238" s="13"/>
      <c r="I238" s="13"/>
      <c r="J238" s="14"/>
      <c r="K238" s="13"/>
      <c r="L238" s="13"/>
      <c r="M238" s="13"/>
      <c r="N238" s="13"/>
      <c r="O238" s="13"/>
      <c r="P238" s="13"/>
      <c r="Q238" s="32"/>
      <c r="R238" s="32"/>
    </row>
    <row r="239" spans="1:18" ht="42" customHeight="1" x14ac:dyDescent="0.25">
      <c r="A239" s="5">
        <v>228</v>
      </c>
      <c r="B239" s="13"/>
      <c r="C239" s="13"/>
      <c r="D239" s="13"/>
      <c r="E239" s="13"/>
      <c r="F239" s="13"/>
      <c r="G239" s="13"/>
      <c r="H239" s="13"/>
      <c r="I239" s="13"/>
      <c r="J239" s="14"/>
      <c r="K239" s="13"/>
      <c r="L239" s="13"/>
      <c r="M239" s="13"/>
      <c r="N239" s="13"/>
      <c r="O239" s="13"/>
      <c r="P239" s="13"/>
      <c r="Q239" s="32"/>
      <c r="R239" s="32"/>
    </row>
    <row r="240" spans="1:18" ht="42" customHeight="1" x14ac:dyDescent="0.25">
      <c r="A240" s="5">
        <v>229</v>
      </c>
      <c r="B240" s="13"/>
      <c r="C240" s="13"/>
      <c r="D240" s="13"/>
      <c r="E240" s="13"/>
      <c r="F240" s="13"/>
      <c r="G240" s="13"/>
      <c r="H240" s="13"/>
      <c r="I240" s="13"/>
      <c r="J240" s="14"/>
      <c r="K240" s="13"/>
      <c r="L240" s="13"/>
      <c r="M240" s="13"/>
      <c r="N240" s="13"/>
      <c r="O240" s="13"/>
      <c r="P240" s="13"/>
      <c r="Q240" s="32"/>
      <c r="R240" s="32"/>
    </row>
    <row r="241" spans="1:18" ht="42" customHeight="1" x14ac:dyDescent="0.25">
      <c r="A241" s="5">
        <v>230</v>
      </c>
      <c r="B241" s="13"/>
      <c r="C241" s="13"/>
      <c r="D241" s="13"/>
      <c r="E241" s="13"/>
      <c r="F241" s="13"/>
      <c r="G241" s="13"/>
      <c r="H241" s="13"/>
      <c r="I241" s="13"/>
      <c r="J241" s="14"/>
      <c r="K241" s="13"/>
      <c r="L241" s="13"/>
      <c r="M241" s="13"/>
      <c r="N241" s="13"/>
      <c r="O241" s="13"/>
      <c r="P241" s="13"/>
      <c r="Q241" s="32"/>
      <c r="R241" s="32"/>
    </row>
    <row r="242" spans="1:18" ht="42" customHeight="1" x14ac:dyDescent="0.25">
      <c r="A242" s="5">
        <v>231</v>
      </c>
      <c r="B242" s="13"/>
      <c r="C242" s="13"/>
      <c r="D242" s="13"/>
      <c r="E242" s="13"/>
      <c r="F242" s="13"/>
      <c r="G242" s="13"/>
      <c r="H242" s="13"/>
      <c r="I242" s="13"/>
      <c r="J242" s="14"/>
      <c r="K242" s="13"/>
      <c r="L242" s="13"/>
      <c r="M242" s="13"/>
      <c r="N242" s="13"/>
      <c r="O242" s="13"/>
      <c r="P242" s="13"/>
      <c r="Q242" s="32"/>
      <c r="R242" s="32"/>
    </row>
    <row r="243" spans="1:18" ht="42" customHeight="1" x14ac:dyDescent="0.25">
      <c r="A243" s="5">
        <v>232</v>
      </c>
      <c r="B243" s="13"/>
      <c r="C243" s="13"/>
      <c r="D243" s="13"/>
      <c r="E243" s="13"/>
      <c r="F243" s="13"/>
      <c r="G243" s="13"/>
      <c r="H243" s="13"/>
      <c r="I243" s="13"/>
      <c r="J243" s="14"/>
      <c r="K243" s="13"/>
      <c r="L243" s="13"/>
      <c r="M243" s="13"/>
      <c r="N243" s="13"/>
      <c r="O243" s="13"/>
      <c r="P243" s="13"/>
      <c r="Q243" s="32"/>
      <c r="R243" s="32"/>
    </row>
    <row r="244" spans="1:18" ht="42" customHeight="1" x14ac:dyDescent="0.25">
      <c r="A244" s="5">
        <v>233</v>
      </c>
      <c r="B244" s="13"/>
      <c r="C244" s="13"/>
      <c r="D244" s="13"/>
      <c r="E244" s="13"/>
      <c r="F244" s="13"/>
      <c r="G244" s="13"/>
      <c r="H244" s="13"/>
      <c r="I244" s="13"/>
      <c r="J244" s="14"/>
      <c r="K244" s="13"/>
      <c r="L244" s="13"/>
      <c r="M244" s="13"/>
      <c r="N244" s="13"/>
      <c r="O244" s="13"/>
      <c r="P244" s="13"/>
      <c r="Q244" s="32"/>
      <c r="R244" s="32"/>
    </row>
    <row r="245" spans="1:18" ht="42" customHeight="1" x14ac:dyDescent="0.25">
      <c r="A245" s="5">
        <v>234</v>
      </c>
      <c r="B245" s="13"/>
      <c r="C245" s="13"/>
      <c r="D245" s="13"/>
      <c r="E245" s="13"/>
      <c r="F245" s="13"/>
      <c r="G245" s="13"/>
      <c r="H245" s="13"/>
      <c r="I245" s="13"/>
      <c r="J245" s="14"/>
      <c r="K245" s="13"/>
      <c r="L245" s="13"/>
      <c r="M245" s="13"/>
      <c r="N245" s="13"/>
      <c r="O245" s="13"/>
      <c r="P245" s="13"/>
      <c r="Q245" s="32"/>
      <c r="R245" s="32"/>
    </row>
    <row r="246" spans="1:18" ht="42" customHeight="1" x14ac:dyDescent="0.25">
      <c r="A246" s="5">
        <v>235</v>
      </c>
      <c r="B246" s="13"/>
      <c r="C246" s="13"/>
      <c r="D246" s="13"/>
      <c r="E246" s="13"/>
      <c r="F246" s="13"/>
      <c r="G246" s="13"/>
      <c r="H246" s="13"/>
      <c r="I246" s="13"/>
      <c r="J246" s="14"/>
      <c r="K246" s="13"/>
      <c r="L246" s="13"/>
      <c r="M246" s="13"/>
      <c r="N246" s="13"/>
      <c r="O246" s="13"/>
      <c r="P246" s="13"/>
      <c r="Q246" s="32"/>
      <c r="R246" s="32"/>
    </row>
    <row r="247" spans="1:18" ht="42" customHeight="1" x14ac:dyDescent="0.25">
      <c r="A247" s="5">
        <v>236</v>
      </c>
      <c r="B247" s="13"/>
      <c r="C247" s="13"/>
      <c r="D247" s="13"/>
      <c r="E247" s="13"/>
      <c r="F247" s="13"/>
      <c r="G247" s="13"/>
      <c r="H247" s="13"/>
      <c r="I247" s="13"/>
      <c r="J247" s="14"/>
      <c r="K247" s="13"/>
      <c r="L247" s="13"/>
      <c r="M247" s="13"/>
      <c r="N247" s="13"/>
      <c r="O247" s="13"/>
      <c r="P247" s="13"/>
      <c r="Q247" s="32"/>
      <c r="R247" s="32"/>
    </row>
    <row r="248" spans="1:18" ht="42" customHeight="1" x14ac:dyDescent="0.25">
      <c r="A248" s="5">
        <v>237</v>
      </c>
      <c r="B248" s="13"/>
      <c r="C248" s="13"/>
      <c r="D248" s="13"/>
      <c r="E248" s="13"/>
      <c r="F248" s="13"/>
      <c r="G248" s="13"/>
      <c r="H248" s="13"/>
      <c r="I248" s="13"/>
      <c r="J248" s="14"/>
      <c r="K248" s="13"/>
      <c r="L248" s="13"/>
      <c r="M248" s="13"/>
      <c r="N248" s="13"/>
      <c r="O248" s="13"/>
      <c r="P248" s="13"/>
      <c r="Q248" s="32"/>
      <c r="R248" s="32"/>
    </row>
    <row r="249" spans="1:18" ht="42" customHeight="1" x14ac:dyDescent="0.25">
      <c r="A249" s="5">
        <v>238</v>
      </c>
      <c r="B249" s="13"/>
      <c r="C249" s="13"/>
      <c r="D249" s="13"/>
      <c r="E249" s="13"/>
      <c r="F249" s="13"/>
      <c r="G249" s="13"/>
      <c r="H249" s="13"/>
      <c r="I249" s="13"/>
      <c r="J249" s="14"/>
      <c r="K249" s="13"/>
      <c r="L249" s="13"/>
      <c r="M249" s="13"/>
      <c r="N249" s="13"/>
      <c r="O249" s="13"/>
      <c r="P249" s="13"/>
      <c r="Q249" s="32"/>
      <c r="R249" s="32"/>
    </row>
    <row r="250" spans="1:18" ht="42" customHeight="1" x14ac:dyDescent="0.25">
      <c r="A250" s="5">
        <v>239</v>
      </c>
      <c r="B250" s="13"/>
      <c r="C250" s="13"/>
      <c r="D250" s="13"/>
      <c r="E250" s="13"/>
      <c r="F250" s="13"/>
      <c r="G250" s="13"/>
      <c r="H250" s="13"/>
      <c r="I250" s="13"/>
      <c r="J250" s="14"/>
      <c r="K250" s="13"/>
      <c r="L250" s="13"/>
      <c r="M250" s="13"/>
      <c r="N250" s="13"/>
      <c r="O250" s="13"/>
      <c r="P250" s="13"/>
      <c r="Q250" s="32"/>
      <c r="R250" s="32"/>
    </row>
    <row r="251" spans="1:18" ht="42" customHeight="1" x14ac:dyDescent="0.25">
      <c r="A251" s="5">
        <v>240</v>
      </c>
      <c r="B251" s="13"/>
      <c r="C251" s="13"/>
      <c r="D251" s="13"/>
      <c r="E251" s="13"/>
      <c r="F251" s="13"/>
      <c r="G251" s="13"/>
      <c r="H251" s="13"/>
      <c r="I251" s="13"/>
      <c r="J251" s="14"/>
      <c r="K251" s="13"/>
      <c r="L251" s="13"/>
      <c r="M251" s="13"/>
      <c r="N251" s="13"/>
      <c r="O251" s="13"/>
      <c r="P251" s="13"/>
      <c r="Q251" s="32"/>
      <c r="R251" s="32"/>
    </row>
    <row r="252" spans="1:18" ht="42" customHeight="1" x14ac:dyDescent="0.25">
      <c r="A252" s="5">
        <v>241</v>
      </c>
      <c r="B252" s="13"/>
      <c r="C252" s="13"/>
      <c r="D252" s="13"/>
      <c r="E252" s="13"/>
      <c r="F252" s="13"/>
      <c r="G252" s="13"/>
      <c r="H252" s="13"/>
      <c r="I252" s="13"/>
      <c r="J252" s="14"/>
      <c r="K252" s="13"/>
      <c r="L252" s="13"/>
      <c r="M252" s="13"/>
      <c r="N252" s="13"/>
      <c r="O252" s="13"/>
      <c r="P252" s="13"/>
      <c r="Q252" s="32"/>
      <c r="R252" s="32"/>
    </row>
    <row r="253" spans="1:18" ht="42" customHeight="1" x14ac:dyDescent="0.25">
      <c r="A253" s="5">
        <v>242</v>
      </c>
      <c r="B253" s="13"/>
      <c r="C253" s="13"/>
      <c r="D253" s="13"/>
      <c r="E253" s="13"/>
      <c r="F253" s="13"/>
      <c r="G253" s="13"/>
      <c r="H253" s="13"/>
      <c r="I253" s="13"/>
      <c r="J253" s="14"/>
      <c r="K253" s="13"/>
      <c r="L253" s="13"/>
      <c r="M253" s="13"/>
      <c r="N253" s="13"/>
      <c r="O253" s="13"/>
      <c r="P253" s="13"/>
      <c r="Q253" s="32"/>
      <c r="R253" s="32"/>
    </row>
    <row r="254" spans="1:18" ht="42" customHeight="1" x14ac:dyDescent="0.25">
      <c r="A254" s="5">
        <v>243</v>
      </c>
      <c r="B254" s="13"/>
      <c r="C254" s="13"/>
      <c r="D254" s="13"/>
      <c r="E254" s="13"/>
      <c r="F254" s="13"/>
      <c r="G254" s="13"/>
      <c r="H254" s="13"/>
      <c r="I254" s="13"/>
      <c r="J254" s="14"/>
      <c r="K254" s="13"/>
      <c r="L254" s="13"/>
      <c r="M254" s="13"/>
      <c r="N254" s="13"/>
      <c r="O254" s="13"/>
      <c r="P254" s="13"/>
      <c r="Q254" s="32"/>
      <c r="R254" s="32"/>
    </row>
    <row r="255" spans="1:18" ht="42" customHeight="1" x14ac:dyDescent="0.25">
      <c r="A255" s="5">
        <v>244</v>
      </c>
      <c r="B255" s="13"/>
      <c r="C255" s="13"/>
      <c r="D255" s="13"/>
      <c r="E255" s="13"/>
      <c r="F255" s="13"/>
      <c r="G255" s="13"/>
      <c r="H255" s="13"/>
      <c r="I255" s="13"/>
      <c r="J255" s="14"/>
      <c r="K255" s="13"/>
      <c r="L255" s="13"/>
      <c r="M255" s="13"/>
      <c r="N255" s="13"/>
      <c r="O255" s="13"/>
      <c r="P255" s="13"/>
      <c r="Q255" s="32"/>
      <c r="R255" s="32"/>
    </row>
    <row r="256" spans="1:18" ht="42" customHeight="1" x14ac:dyDescent="0.25">
      <c r="A256" s="5">
        <v>245</v>
      </c>
      <c r="B256" s="13"/>
      <c r="C256" s="13"/>
      <c r="D256" s="13"/>
      <c r="E256" s="13"/>
      <c r="F256" s="13"/>
      <c r="G256" s="13"/>
      <c r="H256" s="13"/>
      <c r="I256" s="13"/>
      <c r="J256" s="14"/>
      <c r="K256" s="13"/>
      <c r="L256" s="13"/>
      <c r="M256" s="13"/>
      <c r="N256" s="13"/>
      <c r="O256" s="13"/>
      <c r="P256" s="13"/>
      <c r="Q256" s="32"/>
      <c r="R256" s="32"/>
    </row>
    <row r="257" spans="1:18" ht="42" customHeight="1" x14ac:dyDescent="0.25">
      <c r="A257" s="5">
        <v>246</v>
      </c>
      <c r="B257" s="13"/>
      <c r="C257" s="13"/>
      <c r="D257" s="13"/>
      <c r="E257" s="13"/>
      <c r="F257" s="13"/>
      <c r="G257" s="13"/>
      <c r="H257" s="13"/>
      <c r="I257" s="13"/>
      <c r="J257" s="14"/>
      <c r="K257" s="13"/>
      <c r="L257" s="13"/>
      <c r="M257" s="13"/>
      <c r="N257" s="13"/>
      <c r="O257" s="13"/>
      <c r="P257" s="13"/>
      <c r="Q257" s="32"/>
      <c r="R257" s="32"/>
    </row>
    <row r="258" spans="1:18" ht="42" customHeight="1" x14ac:dyDescent="0.25">
      <c r="A258" s="5">
        <v>247</v>
      </c>
      <c r="B258" s="13"/>
      <c r="C258" s="13"/>
      <c r="D258" s="13"/>
      <c r="E258" s="13"/>
      <c r="F258" s="13"/>
      <c r="G258" s="13"/>
      <c r="H258" s="13"/>
      <c r="I258" s="13"/>
      <c r="J258" s="14"/>
      <c r="K258" s="13"/>
      <c r="L258" s="13"/>
      <c r="M258" s="13"/>
      <c r="N258" s="13"/>
      <c r="O258" s="13"/>
      <c r="P258" s="13"/>
      <c r="Q258" s="32"/>
      <c r="R258" s="32"/>
    </row>
    <row r="259" spans="1:18" ht="42" customHeight="1" x14ac:dyDescent="0.25">
      <c r="A259" s="5">
        <v>248</v>
      </c>
      <c r="B259" s="13"/>
      <c r="C259" s="13"/>
      <c r="D259" s="13"/>
      <c r="E259" s="13"/>
      <c r="F259" s="13"/>
      <c r="G259" s="13"/>
      <c r="H259" s="13"/>
      <c r="I259" s="13"/>
      <c r="J259" s="14"/>
      <c r="K259" s="13"/>
      <c r="L259" s="13"/>
      <c r="M259" s="13"/>
      <c r="N259" s="13"/>
      <c r="O259" s="13"/>
      <c r="P259" s="13"/>
      <c r="Q259" s="32"/>
      <c r="R259" s="32"/>
    </row>
    <row r="260" spans="1:18" ht="42" customHeight="1" x14ac:dyDescent="0.25">
      <c r="A260" s="5">
        <v>249</v>
      </c>
      <c r="B260" s="13"/>
      <c r="C260" s="13"/>
      <c r="D260" s="13"/>
      <c r="E260" s="13"/>
      <c r="F260" s="13"/>
      <c r="G260" s="13"/>
      <c r="H260" s="13"/>
      <c r="I260" s="13"/>
      <c r="J260" s="14"/>
      <c r="K260" s="13"/>
      <c r="L260" s="13"/>
      <c r="M260" s="13"/>
      <c r="N260" s="13"/>
      <c r="O260" s="13"/>
      <c r="P260" s="13"/>
      <c r="Q260" s="32"/>
      <c r="R260" s="32"/>
    </row>
    <row r="261" spans="1:18" ht="42" customHeight="1" x14ac:dyDescent="0.25">
      <c r="A261" s="5">
        <v>250</v>
      </c>
      <c r="B261" s="13"/>
      <c r="C261" s="13"/>
      <c r="D261" s="13"/>
      <c r="E261" s="13"/>
      <c r="F261" s="13"/>
      <c r="G261" s="13"/>
      <c r="H261" s="13"/>
      <c r="I261" s="13"/>
      <c r="J261" s="14"/>
      <c r="K261" s="13"/>
      <c r="L261" s="13"/>
      <c r="M261" s="13"/>
      <c r="N261" s="13"/>
      <c r="O261" s="13"/>
      <c r="P261" s="13"/>
      <c r="Q261" s="32"/>
      <c r="R261" s="32"/>
    </row>
    <row r="262" spans="1:18" ht="42" customHeight="1" x14ac:dyDescent="0.25">
      <c r="A262" s="5">
        <v>251</v>
      </c>
      <c r="B262" s="13"/>
      <c r="C262" s="13"/>
      <c r="D262" s="13"/>
      <c r="E262" s="13"/>
      <c r="F262" s="13"/>
      <c r="G262" s="13"/>
      <c r="H262" s="13"/>
      <c r="I262" s="13"/>
      <c r="J262" s="14"/>
      <c r="K262" s="13"/>
      <c r="L262" s="13"/>
      <c r="M262" s="13"/>
      <c r="N262" s="13"/>
      <c r="O262" s="13"/>
      <c r="P262" s="13"/>
      <c r="Q262" s="32"/>
      <c r="R262" s="32"/>
    </row>
    <row r="263" spans="1:18" ht="42" customHeight="1" x14ac:dyDescent="0.25">
      <c r="A263" s="5">
        <v>252</v>
      </c>
      <c r="B263" s="13"/>
      <c r="C263" s="13"/>
      <c r="D263" s="13"/>
      <c r="E263" s="13"/>
      <c r="F263" s="13"/>
      <c r="G263" s="13"/>
      <c r="H263" s="13"/>
      <c r="I263" s="13"/>
      <c r="J263" s="14"/>
      <c r="K263" s="13"/>
      <c r="L263" s="13"/>
      <c r="M263" s="13"/>
      <c r="N263" s="13"/>
      <c r="O263" s="13"/>
      <c r="P263" s="13"/>
      <c r="Q263" s="32"/>
      <c r="R263" s="32"/>
    </row>
    <row r="264" spans="1:18" ht="42" customHeight="1" x14ac:dyDescent="0.25">
      <c r="A264" s="5">
        <v>253</v>
      </c>
      <c r="B264" s="13"/>
      <c r="C264" s="13"/>
      <c r="D264" s="13"/>
      <c r="E264" s="13"/>
      <c r="F264" s="13"/>
      <c r="G264" s="13"/>
      <c r="H264" s="13"/>
      <c r="I264" s="13"/>
      <c r="J264" s="14"/>
      <c r="K264" s="13"/>
      <c r="L264" s="13"/>
      <c r="M264" s="13"/>
      <c r="N264" s="13"/>
      <c r="O264" s="13"/>
      <c r="P264" s="13"/>
      <c r="Q264" s="32"/>
      <c r="R264" s="32"/>
    </row>
    <row r="265" spans="1:18" ht="42" customHeight="1" x14ac:dyDescent="0.25">
      <c r="A265" s="5">
        <v>254</v>
      </c>
      <c r="B265" s="13"/>
      <c r="C265" s="13"/>
      <c r="D265" s="13"/>
      <c r="E265" s="13"/>
      <c r="F265" s="13"/>
      <c r="G265" s="13"/>
      <c r="H265" s="13"/>
      <c r="I265" s="13"/>
      <c r="J265" s="14"/>
      <c r="K265" s="13"/>
      <c r="L265" s="13"/>
      <c r="M265" s="13"/>
      <c r="N265" s="13"/>
      <c r="O265" s="13"/>
      <c r="P265" s="13"/>
      <c r="Q265" s="32"/>
      <c r="R265" s="32"/>
    </row>
    <row r="266" spans="1:18" ht="42" customHeight="1" x14ac:dyDescent="0.25">
      <c r="A266" s="5">
        <v>255</v>
      </c>
      <c r="B266" s="13"/>
      <c r="C266" s="13"/>
      <c r="D266" s="13"/>
      <c r="E266" s="13"/>
      <c r="F266" s="13"/>
      <c r="G266" s="13"/>
      <c r="H266" s="13"/>
      <c r="I266" s="13"/>
      <c r="J266" s="14"/>
      <c r="K266" s="13"/>
      <c r="L266" s="13"/>
      <c r="M266" s="13"/>
      <c r="N266" s="13"/>
      <c r="O266" s="13"/>
      <c r="P266" s="13"/>
      <c r="Q266" s="32"/>
      <c r="R266" s="32"/>
    </row>
    <row r="267" spans="1:18" ht="42" customHeight="1" x14ac:dyDescent="0.25">
      <c r="A267" s="5">
        <v>256</v>
      </c>
      <c r="B267" s="13"/>
      <c r="C267" s="13"/>
      <c r="D267" s="13"/>
      <c r="E267" s="13"/>
      <c r="F267" s="13"/>
      <c r="G267" s="13"/>
      <c r="H267" s="13"/>
      <c r="I267" s="13"/>
      <c r="J267" s="14"/>
      <c r="K267" s="13"/>
      <c r="L267" s="13"/>
      <c r="M267" s="13"/>
      <c r="N267" s="13"/>
      <c r="O267" s="13"/>
      <c r="P267" s="13"/>
      <c r="Q267" s="32"/>
      <c r="R267" s="32"/>
    </row>
    <row r="268" spans="1:18" ht="42" customHeight="1" x14ac:dyDescent="0.25">
      <c r="A268" s="5">
        <v>257</v>
      </c>
      <c r="B268" s="13"/>
      <c r="C268" s="13"/>
      <c r="D268" s="13"/>
      <c r="E268" s="13"/>
      <c r="F268" s="13"/>
      <c r="G268" s="13"/>
      <c r="H268" s="13"/>
      <c r="I268" s="13"/>
      <c r="J268" s="14"/>
      <c r="K268" s="13"/>
      <c r="L268" s="13"/>
      <c r="M268" s="13"/>
      <c r="N268" s="13"/>
      <c r="O268" s="13"/>
      <c r="P268" s="13"/>
      <c r="Q268" s="32"/>
      <c r="R268" s="32"/>
    </row>
    <row r="269" spans="1:18" ht="42" customHeight="1" x14ac:dyDescent="0.25">
      <c r="A269" s="5">
        <v>258</v>
      </c>
      <c r="B269" s="13"/>
      <c r="C269" s="13"/>
      <c r="D269" s="13"/>
      <c r="E269" s="13"/>
      <c r="F269" s="13"/>
      <c r="G269" s="13"/>
      <c r="H269" s="13"/>
      <c r="I269" s="13"/>
      <c r="J269" s="14"/>
      <c r="K269" s="13"/>
      <c r="L269" s="13"/>
      <c r="M269" s="13"/>
      <c r="N269" s="13"/>
      <c r="O269" s="13"/>
      <c r="P269" s="13"/>
      <c r="Q269" s="32"/>
      <c r="R269" s="32"/>
    </row>
    <row r="270" spans="1:18" ht="42" customHeight="1" x14ac:dyDescent="0.25">
      <c r="A270" s="5">
        <v>259</v>
      </c>
      <c r="B270" s="13"/>
      <c r="C270" s="13"/>
      <c r="D270" s="13"/>
      <c r="E270" s="13"/>
      <c r="F270" s="13"/>
      <c r="G270" s="13"/>
      <c r="H270" s="13"/>
      <c r="I270" s="13"/>
      <c r="J270" s="14"/>
      <c r="K270" s="13"/>
      <c r="L270" s="13"/>
      <c r="M270" s="13"/>
      <c r="N270" s="13"/>
      <c r="O270" s="13"/>
      <c r="P270" s="13"/>
      <c r="Q270" s="32"/>
      <c r="R270" s="32"/>
    </row>
    <row r="271" spans="1:18" ht="42" customHeight="1" x14ac:dyDescent="0.25">
      <c r="A271" s="5">
        <v>260</v>
      </c>
      <c r="B271" s="13"/>
      <c r="C271" s="13"/>
      <c r="D271" s="13"/>
      <c r="E271" s="13"/>
      <c r="F271" s="13"/>
      <c r="G271" s="13"/>
      <c r="H271" s="13"/>
      <c r="I271" s="13"/>
      <c r="J271" s="14"/>
      <c r="K271" s="13"/>
      <c r="L271" s="13"/>
      <c r="M271" s="13"/>
      <c r="N271" s="13"/>
      <c r="O271" s="13"/>
      <c r="P271" s="13"/>
      <c r="Q271" s="32"/>
      <c r="R271" s="32"/>
    </row>
    <row r="272" spans="1:18" ht="42" customHeight="1" x14ac:dyDescent="0.25">
      <c r="A272" s="5">
        <v>261</v>
      </c>
      <c r="B272" s="13"/>
      <c r="C272" s="13"/>
      <c r="D272" s="13"/>
      <c r="E272" s="13"/>
      <c r="F272" s="13"/>
      <c r="G272" s="13"/>
      <c r="H272" s="13"/>
      <c r="I272" s="13"/>
      <c r="J272" s="14"/>
      <c r="K272" s="13"/>
      <c r="L272" s="13"/>
      <c r="M272" s="13"/>
      <c r="N272" s="13"/>
      <c r="O272" s="13"/>
      <c r="P272" s="13"/>
      <c r="Q272" s="32"/>
      <c r="R272" s="32"/>
    </row>
    <row r="273" spans="1:18" ht="42" customHeight="1" x14ac:dyDescent="0.25">
      <c r="A273" s="5">
        <v>262</v>
      </c>
      <c r="B273" s="13"/>
      <c r="C273" s="13"/>
      <c r="D273" s="13"/>
      <c r="E273" s="13"/>
      <c r="F273" s="13"/>
      <c r="G273" s="13"/>
      <c r="H273" s="13"/>
      <c r="I273" s="13"/>
      <c r="J273" s="14"/>
      <c r="K273" s="13"/>
      <c r="L273" s="13"/>
      <c r="M273" s="13"/>
      <c r="N273" s="13"/>
      <c r="O273" s="13"/>
      <c r="P273" s="13"/>
      <c r="Q273" s="32"/>
      <c r="R273" s="32"/>
    </row>
    <row r="274" spans="1:18" ht="42" customHeight="1" x14ac:dyDescent="0.25">
      <c r="A274" s="5">
        <v>263</v>
      </c>
      <c r="B274" s="13"/>
      <c r="C274" s="13"/>
      <c r="D274" s="13"/>
      <c r="E274" s="13"/>
      <c r="F274" s="13"/>
      <c r="G274" s="13"/>
      <c r="H274" s="13"/>
      <c r="I274" s="13"/>
      <c r="J274" s="14"/>
      <c r="K274" s="13"/>
      <c r="L274" s="13"/>
      <c r="M274" s="13"/>
      <c r="N274" s="13"/>
      <c r="O274" s="13"/>
      <c r="P274" s="13"/>
      <c r="Q274" s="32"/>
      <c r="R274" s="32"/>
    </row>
    <row r="275" spans="1:18" ht="42" customHeight="1" x14ac:dyDescent="0.25">
      <c r="A275" s="5">
        <v>264</v>
      </c>
      <c r="B275" s="13"/>
      <c r="C275" s="13"/>
      <c r="D275" s="13"/>
      <c r="E275" s="13"/>
      <c r="F275" s="13"/>
      <c r="G275" s="13"/>
      <c r="H275" s="13"/>
      <c r="I275" s="13"/>
      <c r="J275" s="14"/>
      <c r="K275" s="13"/>
      <c r="L275" s="13"/>
      <c r="M275" s="13"/>
      <c r="N275" s="13"/>
      <c r="O275" s="13"/>
      <c r="P275" s="13"/>
      <c r="Q275" s="32"/>
      <c r="R275" s="32"/>
    </row>
    <row r="276" spans="1:18" ht="42" customHeight="1" x14ac:dyDescent="0.25">
      <c r="A276" s="5">
        <v>265</v>
      </c>
      <c r="B276" s="13"/>
      <c r="C276" s="13"/>
      <c r="D276" s="13"/>
      <c r="E276" s="13"/>
      <c r="F276" s="13"/>
      <c r="G276" s="13"/>
      <c r="H276" s="13"/>
      <c r="I276" s="13"/>
      <c r="J276" s="14"/>
      <c r="K276" s="13"/>
      <c r="L276" s="13"/>
      <c r="M276" s="13"/>
      <c r="N276" s="13"/>
      <c r="O276" s="13"/>
      <c r="P276" s="13"/>
      <c r="Q276" s="32"/>
      <c r="R276" s="32"/>
    </row>
    <row r="277" spans="1:18" ht="42" customHeight="1" x14ac:dyDescent="0.25">
      <c r="A277" s="5">
        <v>266</v>
      </c>
      <c r="B277" s="13"/>
      <c r="C277" s="13"/>
      <c r="D277" s="13"/>
      <c r="E277" s="13"/>
      <c r="F277" s="13"/>
      <c r="G277" s="13"/>
      <c r="H277" s="13"/>
      <c r="I277" s="13"/>
      <c r="J277" s="14"/>
      <c r="K277" s="13"/>
      <c r="L277" s="13"/>
      <c r="M277" s="13"/>
      <c r="N277" s="13"/>
      <c r="O277" s="13"/>
      <c r="P277" s="13"/>
      <c r="Q277" s="32"/>
      <c r="R277" s="32"/>
    </row>
    <row r="278" spans="1:18" ht="42" customHeight="1" x14ac:dyDescent="0.25">
      <c r="A278" s="5">
        <v>267</v>
      </c>
      <c r="B278" s="13"/>
      <c r="C278" s="13"/>
      <c r="D278" s="13"/>
      <c r="E278" s="13"/>
      <c r="F278" s="13"/>
      <c r="G278" s="13"/>
      <c r="H278" s="13"/>
      <c r="I278" s="13"/>
      <c r="J278" s="14"/>
      <c r="K278" s="13"/>
      <c r="L278" s="13"/>
      <c r="M278" s="13"/>
      <c r="N278" s="13"/>
      <c r="O278" s="13"/>
      <c r="P278" s="13"/>
      <c r="Q278" s="32"/>
      <c r="R278" s="32"/>
    </row>
    <row r="279" spans="1:18" ht="42" customHeight="1" x14ac:dyDescent="0.25">
      <c r="A279" s="5">
        <v>268</v>
      </c>
      <c r="B279" s="13"/>
      <c r="C279" s="13"/>
      <c r="D279" s="13"/>
      <c r="E279" s="13"/>
      <c r="F279" s="13"/>
      <c r="G279" s="13"/>
      <c r="H279" s="13"/>
      <c r="I279" s="13"/>
      <c r="J279" s="14"/>
      <c r="K279" s="13"/>
      <c r="L279" s="13"/>
      <c r="M279" s="13"/>
      <c r="N279" s="13"/>
      <c r="O279" s="13"/>
      <c r="P279" s="13"/>
      <c r="Q279" s="32"/>
      <c r="R279" s="32"/>
    </row>
    <row r="280" spans="1:18" ht="42" customHeight="1" x14ac:dyDescent="0.25">
      <c r="A280" s="5">
        <v>269</v>
      </c>
      <c r="B280" s="13"/>
      <c r="C280" s="13"/>
      <c r="D280" s="13"/>
      <c r="E280" s="13"/>
      <c r="F280" s="13"/>
      <c r="G280" s="13"/>
      <c r="H280" s="13"/>
      <c r="I280" s="13"/>
      <c r="J280" s="14"/>
      <c r="K280" s="13"/>
      <c r="L280" s="13"/>
      <c r="M280" s="13"/>
      <c r="N280" s="13"/>
      <c r="O280" s="13"/>
      <c r="P280" s="13"/>
      <c r="Q280" s="32"/>
      <c r="R280" s="32"/>
    </row>
    <row r="281" spans="1:18" ht="42" customHeight="1" x14ac:dyDescent="0.25">
      <c r="A281" s="5">
        <v>270</v>
      </c>
      <c r="B281" s="13"/>
      <c r="C281" s="13"/>
      <c r="D281" s="13"/>
      <c r="E281" s="13"/>
      <c r="F281" s="13"/>
      <c r="G281" s="13"/>
      <c r="H281" s="13"/>
      <c r="I281" s="13"/>
      <c r="J281" s="14"/>
      <c r="K281" s="13"/>
      <c r="L281" s="13"/>
      <c r="M281" s="13"/>
      <c r="N281" s="13"/>
      <c r="O281" s="13"/>
      <c r="P281" s="13"/>
      <c r="Q281" s="32"/>
      <c r="R281" s="32"/>
    </row>
    <row r="282" spans="1:18" ht="42" customHeight="1" x14ac:dyDescent="0.25">
      <c r="A282" s="5">
        <v>271</v>
      </c>
      <c r="B282" s="13"/>
      <c r="C282" s="13"/>
      <c r="D282" s="13"/>
      <c r="E282" s="13"/>
      <c r="F282" s="13"/>
      <c r="G282" s="13"/>
      <c r="H282" s="13"/>
      <c r="I282" s="13"/>
      <c r="J282" s="14"/>
      <c r="K282" s="13"/>
      <c r="L282" s="13"/>
      <c r="M282" s="13"/>
      <c r="N282" s="13"/>
      <c r="O282" s="13"/>
      <c r="P282" s="13"/>
      <c r="Q282" s="32"/>
      <c r="R282" s="32"/>
    </row>
    <row r="283" spans="1:18" ht="42" customHeight="1" x14ac:dyDescent="0.25">
      <c r="A283" s="5">
        <v>272</v>
      </c>
      <c r="B283" s="13"/>
      <c r="C283" s="13"/>
      <c r="D283" s="13"/>
      <c r="E283" s="13"/>
      <c r="F283" s="13"/>
      <c r="G283" s="13"/>
      <c r="H283" s="13"/>
      <c r="I283" s="13"/>
      <c r="J283" s="14"/>
      <c r="K283" s="13"/>
      <c r="L283" s="13"/>
      <c r="M283" s="13"/>
      <c r="N283" s="13"/>
      <c r="O283" s="13"/>
      <c r="P283" s="13"/>
      <c r="Q283" s="32"/>
      <c r="R283" s="32"/>
    </row>
    <row r="284" spans="1:18" ht="42" customHeight="1" x14ac:dyDescent="0.25">
      <c r="A284" s="5">
        <v>273</v>
      </c>
      <c r="B284" s="13"/>
      <c r="C284" s="13"/>
      <c r="D284" s="13"/>
      <c r="E284" s="13"/>
      <c r="F284" s="13"/>
      <c r="G284" s="13"/>
      <c r="H284" s="13"/>
      <c r="I284" s="13"/>
      <c r="J284" s="14"/>
      <c r="K284" s="13"/>
      <c r="L284" s="13"/>
      <c r="M284" s="13"/>
      <c r="N284" s="13"/>
      <c r="O284" s="13"/>
      <c r="P284" s="13"/>
      <c r="Q284" s="32"/>
      <c r="R284" s="32"/>
    </row>
    <row r="285" spans="1:18" ht="42" customHeight="1" x14ac:dyDescent="0.25">
      <c r="A285" s="5">
        <v>274</v>
      </c>
      <c r="B285" s="13"/>
      <c r="C285" s="13"/>
      <c r="D285" s="13"/>
      <c r="E285" s="13"/>
      <c r="F285" s="13"/>
      <c r="G285" s="13"/>
      <c r="H285" s="13"/>
      <c r="I285" s="13"/>
      <c r="J285" s="14"/>
      <c r="K285" s="13"/>
      <c r="L285" s="13"/>
      <c r="M285" s="13"/>
      <c r="N285" s="13"/>
      <c r="O285" s="13"/>
      <c r="P285" s="13"/>
      <c r="Q285" s="32"/>
      <c r="R285" s="32"/>
    </row>
    <row r="286" spans="1:18" ht="42" customHeight="1" x14ac:dyDescent="0.25">
      <c r="A286" s="5">
        <v>275</v>
      </c>
      <c r="B286" s="13"/>
      <c r="C286" s="13"/>
      <c r="D286" s="13"/>
      <c r="E286" s="13"/>
      <c r="F286" s="13"/>
      <c r="G286" s="13"/>
      <c r="H286" s="13"/>
      <c r="I286" s="13"/>
      <c r="J286" s="14"/>
      <c r="K286" s="13"/>
      <c r="L286" s="13"/>
      <c r="M286" s="13"/>
      <c r="N286" s="13"/>
      <c r="O286" s="13"/>
      <c r="P286" s="13"/>
      <c r="Q286" s="32"/>
      <c r="R286" s="32"/>
    </row>
    <row r="287" spans="1:18" ht="42" customHeight="1" x14ac:dyDescent="0.25">
      <c r="A287" s="5">
        <v>276</v>
      </c>
      <c r="B287" s="13"/>
      <c r="C287" s="13"/>
      <c r="D287" s="13"/>
      <c r="E287" s="13"/>
      <c r="F287" s="13"/>
      <c r="G287" s="13"/>
      <c r="H287" s="13"/>
      <c r="I287" s="13"/>
      <c r="J287" s="14"/>
      <c r="K287" s="13"/>
      <c r="L287" s="13"/>
      <c r="M287" s="13"/>
      <c r="N287" s="13"/>
      <c r="O287" s="13"/>
      <c r="P287" s="13"/>
      <c r="Q287" s="32"/>
      <c r="R287" s="32"/>
    </row>
    <row r="288" spans="1:18" ht="42" customHeight="1" x14ac:dyDescent="0.25">
      <c r="A288" s="5">
        <v>277</v>
      </c>
      <c r="B288" s="13"/>
      <c r="C288" s="13"/>
      <c r="D288" s="13"/>
      <c r="E288" s="13"/>
      <c r="F288" s="13"/>
      <c r="G288" s="13"/>
      <c r="H288" s="13"/>
      <c r="I288" s="13"/>
      <c r="J288" s="14"/>
      <c r="K288" s="13"/>
      <c r="L288" s="13"/>
      <c r="M288" s="13"/>
      <c r="N288" s="13"/>
      <c r="O288" s="13"/>
      <c r="P288" s="13"/>
      <c r="Q288" s="32"/>
      <c r="R288" s="32"/>
    </row>
    <row r="289" spans="1:18" ht="42" customHeight="1" x14ac:dyDescent="0.25">
      <c r="A289" s="5">
        <v>278</v>
      </c>
      <c r="B289" s="13"/>
      <c r="C289" s="13"/>
      <c r="D289" s="13"/>
      <c r="E289" s="13"/>
      <c r="F289" s="13"/>
      <c r="G289" s="13"/>
      <c r="H289" s="13"/>
      <c r="I289" s="13"/>
      <c r="J289" s="14"/>
      <c r="K289" s="13"/>
      <c r="L289" s="13"/>
      <c r="M289" s="13"/>
      <c r="N289" s="13"/>
      <c r="O289" s="13"/>
      <c r="P289" s="13"/>
      <c r="Q289" s="32"/>
      <c r="R289" s="32"/>
    </row>
    <row r="290" spans="1:18" ht="42" customHeight="1" x14ac:dyDescent="0.25">
      <c r="A290" s="5">
        <v>279</v>
      </c>
      <c r="B290" s="13"/>
      <c r="C290" s="13"/>
      <c r="D290" s="13"/>
      <c r="E290" s="13"/>
      <c r="F290" s="13"/>
      <c r="G290" s="13"/>
      <c r="H290" s="13"/>
      <c r="I290" s="13"/>
      <c r="J290" s="14"/>
      <c r="K290" s="13"/>
      <c r="L290" s="13"/>
      <c r="M290" s="13"/>
      <c r="N290" s="13"/>
      <c r="O290" s="13"/>
      <c r="P290" s="13"/>
      <c r="Q290" s="32"/>
      <c r="R290" s="32"/>
    </row>
    <row r="291" spans="1:18" ht="42" customHeight="1" x14ac:dyDescent="0.25">
      <c r="A291" s="5">
        <v>280</v>
      </c>
      <c r="B291" s="13"/>
      <c r="C291" s="13"/>
      <c r="D291" s="13"/>
      <c r="E291" s="13"/>
      <c r="F291" s="13"/>
      <c r="G291" s="13"/>
      <c r="H291" s="13"/>
      <c r="I291" s="13"/>
      <c r="J291" s="14"/>
      <c r="K291" s="13"/>
      <c r="L291" s="13"/>
      <c r="M291" s="13"/>
      <c r="N291" s="13"/>
      <c r="O291" s="13"/>
      <c r="P291" s="13"/>
      <c r="Q291" s="32"/>
      <c r="R291" s="32"/>
    </row>
    <row r="292" spans="1:18" ht="42" customHeight="1" x14ac:dyDescent="0.25">
      <c r="A292" s="5">
        <v>281</v>
      </c>
      <c r="B292" s="13"/>
      <c r="C292" s="13"/>
      <c r="D292" s="13"/>
      <c r="E292" s="13"/>
      <c r="F292" s="13"/>
      <c r="G292" s="13"/>
      <c r="H292" s="13"/>
      <c r="I292" s="13"/>
      <c r="J292" s="14"/>
      <c r="K292" s="13"/>
      <c r="L292" s="13"/>
      <c r="M292" s="13"/>
      <c r="N292" s="13"/>
      <c r="O292" s="13"/>
      <c r="P292" s="13"/>
      <c r="Q292" s="32"/>
      <c r="R292" s="32"/>
    </row>
    <row r="293" spans="1:18" ht="42" customHeight="1" x14ac:dyDescent="0.25">
      <c r="A293" s="5">
        <v>282</v>
      </c>
      <c r="B293" s="13"/>
      <c r="C293" s="13"/>
      <c r="D293" s="13"/>
      <c r="E293" s="13"/>
      <c r="F293" s="13"/>
      <c r="G293" s="13"/>
      <c r="H293" s="13"/>
      <c r="I293" s="13"/>
      <c r="J293" s="14"/>
      <c r="K293" s="13"/>
      <c r="L293" s="13"/>
      <c r="M293" s="13"/>
      <c r="N293" s="13"/>
      <c r="O293" s="13"/>
      <c r="P293" s="13"/>
      <c r="Q293" s="32"/>
      <c r="R293" s="32"/>
    </row>
    <row r="294" spans="1:18" ht="42" customHeight="1" x14ac:dyDescent="0.25">
      <c r="A294" s="5">
        <v>283</v>
      </c>
      <c r="B294" s="13"/>
      <c r="C294" s="13"/>
      <c r="D294" s="13"/>
      <c r="E294" s="13"/>
      <c r="F294" s="13"/>
      <c r="G294" s="13"/>
      <c r="H294" s="13"/>
      <c r="I294" s="13"/>
      <c r="J294" s="14"/>
      <c r="K294" s="13"/>
      <c r="L294" s="13"/>
      <c r="M294" s="13"/>
      <c r="N294" s="13"/>
      <c r="O294" s="13"/>
      <c r="P294" s="13"/>
      <c r="Q294" s="32"/>
      <c r="R294" s="32"/>
    </row>
    <row r="295" spans="1:18" ht="42" customHeight="1" x14ac:dyDescent="0.25">
      <c r="A295" s="5">
        <v>284</v>
      </c>
      <c r="B295" s="13"/>
      <c r="C295" s="13"/>
      <c r="D295" s="13"/>
      <c r="E295" s="13"/>
      <c r="F295" s="13"/>
      <c r="G295" s="13"/>
      <c r="H295" s="13"/>
      <c r="I295" s="13"/>
      <c r="J295" s="14"/>
      <c r="K295" s="13"/>
      <c r="L295" s="13"/>
      <c r="M295" s="13"/>
      <c r="N295" s="13"/>
      <c r="O295" s="13"/>
      <c r="P295" s="13"/>
      <c r="Q295" s="32"/>
      <c r="R295" s="32"/>
    </row>
    <row r="296" spans="1:18" ht="42" customHeight="1" x14ac:dyDescent="0.25">
      <c r="A296" s="5">
        <v>285</v>
      </c>
      <c r="B296" s="13"/>
      <c r="C296" s="13"/>
      <c r="D296" s="13"/>
      <c r="E296" s="13"/>
      <c r="F296" s="13"/>
      <c r="G296" s="13"/>
      <c r="H296" s="13"/>
      <c r="I296" s="13"/>
      <c r="J296" s="14"/>
      <c r="K296" s="13"/>
      <c r="L296" s="13"/>
      <c r="M296" s="13"/>
      <c r="N296" s="13"/>
      <c r="O296" s="13"/>
      <c r="P296" s="13"/>
      <c r="Q296" s="32"/>
      <c r="R296" s="32"/>
    </row>
    <row r="297" spans="1:18" ht="42" customHeight="1" x14ac:dyDescent="0.25">
      <c r="A297" s="5">
        <v>286</v>
      </c>
      <c r="B297" s="13"/>
      <c r="C297" s="13"/>
      <c r="D297" s="13"/>
      <c r="E297" s="13"/>
      <c r="F297" s="13"/>
      <c r="G297" s="13"/>
      <c r="H297" s="13"/>
      <c r="I297" s="13"/>
      <c r="J297" s="14"/>
      <c r="K297" s="13"/>
      <c r="L297" s="13"/>
      <c r="M297" s="13"/>
      <c r="N297" s="13"/>
      <c r="O297" s="13"/>
      <c r="P297" s="13"/>
      <c r="Q297" s="32"/>
      <c r="R297" s="32"/>
    </row>
    <row r="298" spans="1:18" ht="42" customHeight="1" x14ac:dyDescent="0.25">
      <c r="A298" s="5">
        <v>287</v>
      </c>
      <c r="B298" s="13"/>
      <c r="C298" s="13"/>
      <c r="D298" s="13"/>
      <c r="E298" s="13"/>
      <c r="F298" s="13"/>
      <c r="G298" s="13"/>
      <c r="H298" s="13"/>
      <c r="I298" s="13"/>
      <c r="J298" s="14"/>
      <c r="K298" s="13"/>
      <c r="L298" s="13"/>
      <c r="M298" s="13"/>
      <c r="N298" s="13"/>
      <c r="O298" s="13"/>
      <c r="P298" s="13"/>
      <c r="Q298" s="32"/>
      <c r="R298" s="32"/>
    </row>
    <row r="299" spans="1:18" ht="42" customHeight="1" x14ac:dyDescent="0.25">
      <c r="A299" s="5">
        <v>288</v>
      </c>
      <c r="B299" s="13"/>
      <c r="C299" s="13"/>
      <c r="D299" s="13"/>
      <c r="E299" s="13"/>
      <c r="F299" s="13"/>
      <c r="G299" s="13"/>
      <c r="H299" s="13"/>
      <c r="I299" s="13"/>
      <c r="J299" s="14"/>
      <c r="K299" s="13"/>
      <c r="L299" s="13"/>
      <c r="M299" s="13"/>
      <c r="N299" s="13"/>
      <c r="O299" s="13"/>
      <c r="P299" s="13"/>
      <c r="Q299" s="32"/>
      <c r="R299" s="32"/>
    </row>
    <row r="300" spans="1:18" ht="42" customHeight="1" x14ac:dyDescent="0.25">
      <c r="A300" s="5">
        <v>289</v>
      </c>
      <c r="B300" s="13"/>
      <c r="C300" s="13"/>
      <c r="D300" s="13"/>
      <c r="E300" s="13"/>
      <c r="F300" s="13"/>
      <c r="G300" s="13"/>
      <c r="H300" s="13"/>
      <c r="I300" s="13"/>
      <c r="J300" s="14"/>
      <c r="K300" s="13"/>
      <c r="L300" s="13"/>
      <c r="M300" s="13"/>
      <c r="N300" s="13"/>
      <c r="O300" s="13"/>
      <c r="P300" s="13"/>
      <c r="Q300" s="32"/>
      <c r="R300" s="32"/>
    </row>
    <row r="301" spans="1:18" ht="42" customHeight="1" x14ac:dyDescent="0.25">
      <c r="A301" s="5">
        <v>290</v>
      </c>
      <c r="B301" s="13"/>
      <c r="C301" s="13"/>
      <c r="D301" s="13"/>
      <c r="E301" s="13"/>
      <c r="F301" s="13"/>
      <c r="G301" s="13"/>
      <c r="H301" s="13"/>
      <c r="I301" s="13"/>
      <c r="J301" s="14"/>
      <c r="K301" s="13"/>
      <c r="L301" s="13"/>
      <c r="M301" s="13"/>
      <c r="N301" s="13"/>
      <c r="O301" s="13"/>
      <c r="P301" s="13"/>
      <c r="Q301" s="32"/>
      <c r="R301" s="32"/>
    </row>
    <row r="302" spans="1:18" ht="42" customHeight="1" x14ac:dyDescent="0.25">
      <c r="A302" s="5">
        <v>291</v>
      </c>
      <c r="B302" s="13"/>
      <c r="C302" s="13"/>
      <c r="D302" s="13"/>
      <c r="E302" s="13"/>
      <c r="F302" s="13"/>
      <c r="G302" s="13"/>
      <c r="H302" s="13"/>
      <c r="I302" s="13"/>
      <c r="J302" s="14"/>
      <c r="K302" s="13"/>
      <c r="L302" s="13"/>
      <c r="M302" s="13"/>
      <c r="N302" s="13"/>
      <c r="O302" s="13"/>
      <c r="P302" s="13"/>
      <c r="Q302" s="32"/>
      <c r="R302" s="32"/>
    </row>
    <row r="303" spans="1:18" ht="42" customHeight="1" x14ac:dyDescent="0.25">
      <c r="A303" s="5">
        <v>292</v>
      </c>
      <c r="B303" s="13"/>
      <c r="C303" s="13"/>
      <c r="D303" s="13"/>
      <c r="E303" s="13"/>
      <c r="F303" s="13"/>
      <c r="G303" s="13"/>
      <c r="H303" s="13"/>
      <c r="I303" s="13"/>
      <c r="J303" s="14"/>
      <c r="K303" s="13"/>
      <c r="L303" s="13"/>
      <c r="M303" s="13"/>
      <c r="N303" s="13"/>
      <c r="O303" s="13"/>
      <c r="P303" s="13"/>
      <c r="Q303" s="32"/>
      <c r="R303" s="32"/>
    </row>
    <row r="304" spans="1:18" ht="42" customHeight="1" x14ac:dyDescent="0.25">
      <c r="A304" s="5">
        <v>293</v>
      </c>
      <c r="B304" s="13"/>
      <c r="C304" s="13"/>
      <c r="D304" s="13"/>
      <c r="E304" s="13"/>
      <c r="F304" s="13"/>
      <c r="G304" s="13"/>
      <c r="H304" s="13"/>
      <c r="I304" s="13"/>
      <c r="J304" s="14"/>
      <c r="K304" s="13"/>
      <c r="L304" s="13"/>
      <c r="M304" s="13"/>
      <c r="N304" s="13"/>
      <c r="O304" s="13"/>
      <c r="P304" s="13"/>
      <c r="Q304" s="32"/>
      <c r="R304" s="32"/>
    </row>
    <row r="305" spans="1:18" ht="42" customHeight="1" x14ac:dyDescent="0.25">
      <c r="A305" s="5">
        <v>294</v>
      </c>
      <c r="B305" s="13"/>
      <c r="C305" s="13"/>
      <c r="D305" s="13"/>
      <c r="E305" s="13"/>
      <c r="F305" s="13"/>
      <c r="G305" s="13"/>
      <c r="H305" s="13"/>
      <c r="I305" s="13"/>
      <c r="J305" s="14"/>
      <c r="K305" s="13"/>
      <c r="L305" s="13"/>
      <c r="M305" s="13"/>
      <c r="N305" s="13"/>
      <c r="O305" s="13"/>
      <c r="P305" s="13"/>
      <c r="Q305" s="32"/>
      <c r="R305" s="32"/>
    </row>
    <row r="306" spans="1:18" ht="42" customHeight="1" x14ac:dyDescent="0.25">
      <c r="A306" s="5">
        <v>295</v>
      </c>
      <c r="B306" s="13"/>
      <c r="C306" s="13"/>
      <c r="D306" s="13"/>
      <c r="E306" s="13"/>
      <c r="F306" s="13"/>
      <c r="G306" s="13"/>
      <c r="H306" s="13"/>
      <c r="I306" s="13"/>
      <c r="J306" s="14"/>
      <c r="K306" s="13"/>
      <c r="L306" s="13"/>
      <c r="M306" s="13"/>
      <c r="N306" s="13"/>
      <c r="O306" s="13"/>
      <c r="P306" s="13"/>
      <c r="Q306" s="32"/>
      <c r="R306" s="32"/>
    </row>
    <row r="307" spans="1:18" ht="42" customHeight="1" x14ac:dyDescent="0.25">
      <c r="A307" s="5">
        <v>296</v>
      </c>
      <c r="B307" s="13"/>
      <c r="C307" s="13"/>
      <c r="D307" s="13"/>
      <c r="E307" s="13"/>
      <c r="F307" s="13"/>
      <c r="G307" s="13"/>
      <c r="H307" s="13"/>
      <c r="I307" s="13"/>
      <c r="J307" s="14"/>
      <c r="K307" s="13"/>
      <c r="L307" s="13"/>
      <c r="M307" s="13"/>
      <c r="N307" s="13"/>
      <c r="O307" s="13"/>
      <c r="P307" s="13"/>
      <c r="Q307" s="32"/>
      <c r="R307" s="32"/>
    </row>
    <row r="308" spans="1:18" ht="42" customHeight="1" x14ac:dyDescent="0.25">
      <c r="A308" s="5">
        <v>297</v>
      </c>
      <c r="B308" s="13"/>
      <c r="C308" s="13"/>
      <c r="D308" s="13"/>
      <c r="E308" s="13"/>
      <c r="F308" s="13"/>
      <c r="G308" s="13"/>
      <c r="H308" s="13"/>
      <c r="I308" s="13"/>
      <c r="J308" s="14"/>
      <c r="K308" s="13"/>
      <c r="L308" s="13"/>
      <c r="M308" s="13"/>
      <c r="N308" s="13"/>
      <c r="O308" s="13"/>
      <c r="P308" s="13"/>
      <c r="Q308" s="32"/>
      <c r="R308" s="32"/>
    </row>
    <row r="309" spans="1:18" ht="42" customHeight="1" x14ac:dyDescent="0.25">
      <c r="A309" s="5">
        <v>298</v>
      </c>
      <c r="B309" s="13"/>
      <c r="C309" s="13"/>
      <c r="D309" s="13"/>
      <c r="E309" s="13"/>
      <c r="F309" s="13"/>
      <c r="G309" s="13"/>
      <c r="H309" s="13"/>
      <c r="I309" s="13"/>
      <c r="J309" s="14"/>
      <c r="K309" s="13"/>
      <c r="L309" s="13"/>
      <c r="M309" s="13"/>
      <c r="N309" s="13"/>
      <c r="O309" s="13"/>
      <c r="P309" s="13"/>
      <c r="Q309" s="32"/>
      <c r="R309" s="32"/>
    </row>
    <row r="310" spans="1:18" ht="42" customHeight="1" x14ac:dyDescent="0.25">
      <c r="A310" s="5">
        <v>299</v>
      </c>
      <c r="B310" s="13"/>
      <c r="C310" s="13"/>
      <c r="D310" s="13"/>
      <c r="E310" s="13"/>
      <c r="F310" s="13"/>
      <c r="G310" s="13"/>
      <c r="H310" s="13"/>
      <c r="I310" s="13"/>
      <c r="J310" s="14"/>
      <c r="K310" s="13"/>
      <c r="L310" s="13"/>
      <c r="M310" s="13"/>
      <c r="N310" s="13"/>
      <c r="O310" s="13"/>
      <c r="P310" s="13"/>
      <c r="Q310" s="32"/>
      <c r="R310" s="32"/>
    </row>
    <row r="311" spans="1:18" ht="42" customHeight="1" x14ac:dyDescent="0.25">
      <c r="A311" s="5">
        <v>300</v>
      </c>
      <c r="B311" s="13"/>
      <c r="C311" s="13"/>
      <c r="D311" s="13"/>
      <c r="E311" s="13"/>
      <c r="F311" s="13"/>
      <c r="G311" s="13"/>
      <c r="H311" s="13"/>
      <c r="I311" s="13"/>
      <c r="J311" s="14"/>
      <c r="K311" s="13"/>
      <c r="L311" s="13"/>
      <c r="M311" s="13"/>
      <c r="N311" s="13"/>
      <c r="O311" s="13"/>
      <c r="P311" s="13"/>
      <c r="Q311" s="32"/>
      <c r="R311" s="32"/>
    </row>
    <row r="312" spans="1:18" x14ac:dyDescent="0.25">
      <c r="B312" s="29"/>
      <c r="C312" s="30"/>
      <c r="D312" s="30"/>
      <c r="E312" s="30"/>
      <c r="F312" s="29"/>
      <c r="G312" s="29"/>
      <c r="H312" s="30"/>
      <c r="I312" s="30"/>
      <c r="J312" s="31"/>
      <c r="K312" s="30"/>
      <c r="L312" s="30"/>
      <c r="M312" s="30"/>
      <c r="N312" s="30"/>
      <c r="O312" s="30"/>
      <c r="P312" s="30"/>
    </row>
    <row r="313" spans="1:18" x14ac:dyDescent="0.25">
      <c r="B313" s="8"/>
      <c r="C313" s="9"/>
      <c r="D313" s="9"/>
      <c r="E313" s="9"/>
      <c r="F313" s="8"/>
      <c r="G313" s="8"/>
      <c r="H313" s="9"/>
      <c r="I313" s="9"/>
      <c r="J313" s="10"/>
      <c r="K313" s="9"/>
      <c r="L313" s="9"/>
      <c r="M313" s="9"/>
      <c r="N313" s="9"/>
      <c r="O313" s="9"/>
      <c r="P313" s="9"/>
    </row>
    <row r="314" spans="1:18" x14ac:dyDescent="0.25">
      <c r="B314" s="8"/>
      <c r="C314" s="9"/>
      <c r="D314" s="9"/>
      <c r="E314" s="9"/>
      <c r="F314" s="8"/>
      <c r="G314" s="8"/>
      <c r="H314" s="9"/>
      <c r="I314" s="9"/>
      <c r="J314" s="10"/>
      <c r="K314" s="9"/>
      <c r="L314" s="9"/>
      <c r="M314" s="9"/>
      <c r="N314" s="9"/>
      <c r="O314" s="9"/>
      <c r="P314" s="9"/>
    </row>
    <row r="315" spans="1:18" x14ac:dyDescent="0.25">
      <c r="B315" s="8"/>
      <c r="C315" s="9"/>
      <c r="D315" s="9"/>
      <c r="E315" s="9"/>
      <c r="F315" s="8"/>
      <c r="G315" s="8"/>
      <c r="H315" s="9"/>
      <c r="I315" s="9"/>
      <c r="J315" s="10"/>
      <c r="K315" s="9"/>
      <c r="L315" s="9"/>
      <c r="M315" s="9"/>
      <c r="N315" s="9"/>
      <c r="O315" s="9"/>
      <c r="P315" s="9"/>
    </row>
    <row r="316" spans="1:18" x14ac:dyDescent="0.25">
      <c r="B316" s="8"/>
      <c r="C316" s="9"/>
      <c r="D316" s="9"/>
      <c r="E316" s="9"/>
      <c r="F316" s="8"/>
      <c r="G316" s="8"/>
      <c r="H316" s="9"/>
      <c r="I316" s="9"/>
      <c r="J316" s="10"/>
      <c r="K316" s="9"/>
      <c r="L316" s="9"/>
      <c r="M316" s="9"/>
      <c r="N316" s="9"/>
      <c r="O316" s="9"/>
      <c r="P316" s="9"/>
    </row>
    <row r="317" spans="1:18" x14ac:dyDescent="0.25">
      <c r="B317" s="8"/>
      <c r="C317" s="9"/>
      <c r="D317" s="9"/>
      <c r="E317" s="9"/>
      <c r="F317" s="8"/>
      <c r="G317" s="8"/>
      <c r="H317" s="9"/>
      <c r="I317" s="9"/>
      <c r="J317" s="10"/>
      <c r="K317" s="9"/>
      <c r="L317" s="9"/>
      <c r="M317" s="9"/>
      <c r="N317" s="9"/>
      <c r="O317" s="9"/>
      <c r="P317" s="9"/>
    </row>
    <row r="318" spans="1:18" x14ac:dyDescent="0.25">
      <c r="B318" s="8"/>
      <c r="C318" s="9"/>
      <c r="D318" s="9"/>
      <c r="E318" s="9"/>
      <c r="F318" s="8"/>
      <c r="G318" s="8"/>
      <c r="H318" s="9"/>
      <c r="I318" s="9"/>
      <c r="J318" s="10"/>
      <c r="K318" s="9"/>
      <c r="L318" s="9"/>
      <c r="M318" s="9"/>
      <c r="N318" s="9"/>
      <c r="O318" s="9"/>
      <c r="P318" s="9"/>
    </row>
    <row r="319" spans="1:18" x14ac:dyDescent="0.25">
      <c r="B319" s="8"/>
      <c r="C319" s="9"/>
      <c r="D319" s="9"/>
      <c r="E319" s="9"/>
      <c r="F319" s="8"/>
      <c r="G319" s="8"/>
      <c r="H319" s="9"/>
      <c r="I319" s="9"/>
      <c r="J319" s="10"/>
      <c r="K319" s="9"/>
      <c r="L319" s="9"/>
      <c r="M319" s="9"/>
      <c r="N319" s="9"/>
      <c r="O319" s="9"/>
      <c r="P319" s="9"/>
    </row>
    <row r="320" spans="1:18" x14ac:dyDescent="0.25">
      <c r="B320" s="8"/>
      <c r="C320" s="9"/>
      <c r="D320" s="9"/>
      <c r="E320" s="9"/>
      <c r="F320" s="8"/>
      <c r="G320" s="8"/>
      <c r="H320" s="9"/>
      <c r="I320" s="9"/>
      <c r="J320" s="10"/>
      <c r="K320" s="9"/>
      <c r="L320" s="9"/>
      <c r="M320" s="9"/>
      <c r="N320" s="9"/>
      <c r="O320" s="9"/>
      <c r="P320" s="9"/>
    </row>
    <row r="321" spans="2:16" x14ac:dyDescent="0.25">
      <c r="B321" s="8"/>
      <c r="C321" s="9"/>
      <c r="D321" s="9"/>
      <c r="E321" s="9"/>
      <c r="F321" s="8"/>
      <c r="G321" s="8"/>
      <c r="H321" s="9"/>
      <c r="I321" s="9"/>
      <c r="J321" s="10"/>
      <c r="K321" s="9"/>
      <c r="L321" s="9"/>
      <c r="M321" s="9"/>
      <c r="N321" s="9"/>
      <c r="O321" s="9"/>
      <c r="P321" s="9"/>
    </row>
    <row r="322" spans="2:16" x14ac:dyDescent="0.25">
      <c r="B322" s="8"/>
      <c r="C322" s="9"/>
      <c r="D322" s="9"/>
      <c r="E322" s="9"/>
      <c r="F322" s="8"/>
      <c r="G322" s="8"/>
      <c r="H322" s="9"/>
      <c r="I322" s="9"/>
      <c r="J322" s="10"/>
      <c r="K322" s="9"/>
      <c r="L322" s="9"/>
      <c r="M322" s="9"/>
      <c r="N322" s="9"/>
      <c r="O322" s="9"/>
      <c r="P322" s="9"/>
    </row>
    <row r="323" spans="2:16" x14ac:dyDescent="0.25">
      <c r="B323" s="8"/>
      <c r="C323" s="9"/>
      <c r="D323" s="9"/>
      <c r="E323" s="9"/>
      <c r="F323" s="8"/>
      <c r="G323" s="8"/>
      <c r="H323" s="9"/>
      <c r="I323" s="9"/>
      <c r="J323" s="10"/>
      <c r="K323" s="9"/>
      <c r="L323" s="9"/>
      <c r="M323" s="9"/>
      <c r="N323" s="9"/>
      <c r="O323" s="9"/>
      <c r="P323" s="9"/>
    </row>
    <row r="324" spans="2:16" x14ac:dyDescent="0.25">
      <c r="B324" s="8"/>
      <c r="C324" s="9"/>
      <c r="D324" s="9"/>
      <c r="E324" s="9"/>
      <c r="F324" s="8"/>
      <c r="G324" s="8"/>
      <c r="H324" s="9"/>
      <c r="I324" s="9"/>
      <c r="J324" s="10"/>
      <c r="K324" s="9"/>
      <c r="L324" s="9"/>
      <c r="M324" s="9"/>
      <c r="N324" s="9"/>
      <c r="O324" s="9"/>
      <c r="P324" s="9"/>
    </row>
    <row r="325" spans="2:16" x14ac:dyDescent="0.25">
      <c r="B325" s="8"/>
      <c r="C325" s="9"/>
      <c r="D325" s="9"/>
      <c r="E325" s="9"/>
      <c r="F325" s="8"/>
      <c r="G325" s="8"/>
      <c r="H325" s="9"/>
      <c r="I325" s="9"/>
      <c r="J325" s="10"/>
      <c r="K325" s="9"/>
      <c r="L325" s="9"/>
      <c r="M325" s="9"/>
      <c r="N325" s="9"/>
      <c r="O325" s="9"/>
      <c r="P325" s="9"/>
    </row>
    <row r="326" spans="2:16" x14ac:dyDescent="0.25">
      <c r="B326" s="8"/>
      <c r="C326" s="9"/>
      <c r="D326" s="9"/>
      <c r="E326" s="9"/>
      <c r="F326" s="8"/>
      <c r="G326" s="8"/>
      <c r="H326" s="9"/>
      <c r="I326" s="9"/>
      <c r="J326" s="10"/>
      <c r="K326" s="9"/>
      <c r="L326" s="9"/>
      <c r="M326" s="9"/>
      <c r="N326" s="9"/>
      <c r="O326" s="9"/>
      <c r="P326" s="9"/>
    </row>
    <row r="327" spans="2:16" x14ac:dyDescent="0.25">
      <c r="B327" s="8"/>
      <c r="C327" s="9"/>
      <c r="D327" s="9"/>
      <c r="E327" s="9"/>
      <c r="F327" s="8"/>
      <c r="G327" s="8"/>
      <c r="H327" s="9"/>
      <c r="I327" s="9"/>
      <c r="J327" s="10"/>
      <c r="K327" s="9"/>
      <c r="L327" s="9"/>
      <c r="M327" s="9"/>
      <c r="N327" s="9"/>
      <c r="O327" s="9"/>
      <c r="P327" s="9"/>
    </row>
    <row r="328" spans="2:16" x14ac:dyDescent="0.25">
      <c r="B328" s="8"/>
      <c r="C328" s="9"/>
      <c r="D328" s="9"/>
      <c r="E328" s="9"/>
      <c r="F328" s="8"/>
      <c r="G328" s="8"/>
      <c r="H328" s="9"/>
      <c r="I328" s="9"/>
      <c r="J328" s="10"/>
      <c r="K328" s="9"/>
      <c r="L328" s="9"/>
      <c r="M328" s="9"/>
      <c r="N328" s="9"/>
      <c r="O328" s="9"/>
      <c r="P328" s="9"/>
    </row>
    <row r="329" spans="2:16" x14ac:dyDescent="0.25">
      <c r="B329" s="8"/>
      <c r="C329" s="9"/>
      <c r="D329" s="9"/>
      <c r="E329" s="9"/>
      <c r="F329" s="8"/>
      <c r="G329" s="8"/>
      <c r="H329" s="9"/>
      <c r="I329" s="9"/>
      <c r="J329" s="10"/>
      <c r="K329" s="9"/>
      <c r="L329" s="9"/>
      <c r="M329" s="9"/>
      <c r="N329" s="9"/>
      <c r="O329" s="9"/>
      <c r="P329" s="9"/>
    </row>
    <row r="330" spans="2:16" x14ac:dyDescent="0.25">
      <c r="B330" s="8"/>
      <c r="C330" s="9"/>
      <c r="D330" s="9"/>
      <c r="E330" s="9"/>
      <c r="F330" s="8"/>
      <c r="G330" s="8"/>
      <c r="H330" s="9"/>
      <c r="I330" s="9"/>
      <c r="J330" s="10"/>
      <c r="K330" s="9"/>
      <c r="L330" s="9"/>
      <c r="M330" s="9"/>
      <c r="N330" s="9"/>
      <c r="O330" s="9"/>
      <c r="P330" s="9"/>
    </row>
    <row r="331" spans="2:16" x14ac:dyDescent="0.25">
      <c r="B331" s="8"/>
      <c r="C331" s="9"/>
      <c r="D331" s="9"/>
      <c r="E331" s="9"/>
      <c r="F331" s="8"/>
      <c r="G331" s="8"/>
      <c r="H331" s="9"/>
      <c r="I331" s="9"/>
      <c r="J331" s="10"/>
      <c r="K331" s="9"/>
      <c r="L331" s="9"/>
      <c r="M331" s="9"/>
      <c r="N331" s="9"/>
      <c r="O331" s="9"/>
      <c r="P331" s="9"/>
    </row>
    <row r="332" spans="2:16" x14ac:dyDescent="0.25">
      <c r="B332" s="8"/>
      <c r="C332" s="9"/>
      <c r="D332" s="9"/>
      <c r="E332" s="9"/>
      <c r="F332" s="8"/>
      <c r="G332" s="8"/>
      <c r="H332" s="9"/>
      <c r="I332" s="9"/>
      <c r="J332" s="10"/>
      <c r="K332" s="9"/>
      <c r="L332" s="9"/>
      <c r="M332" s="9"/>
      <c r="N332" s="9"/>
      <c r="O332" s="9"/>
      <c r="P332" s="9"/>
    </row>
    <row r="333" spans="2:16" x14ac:dyDescent="0.25">
      <c r="B333" s="8"/>
      <c r="C333" s="9"/>
      <c r="D333" s="9"/>
      <c r="E333" s="9"/>
      <c r="F333" s="8"/>
      <c r="G333" s="8"/>
      <c r="H333" s="9"/>
      <c r="I333" s="9"/>
      <c r="J333" s="10"/>
      <c r="K333" s="9"/>
      <c r="L333" s="9"/>
      <c r="M333" s="9"/>
      <c r="N333" s="9"/>
      <c r="O333" s="9"/>
      <c r="P333" s="9"/>
    </row>
    <row r="334" spans="2:16" x14ac:dyDescent="0.25">
      <c r="B334" s="8"/>
      <c r="C334" s="9"/>
      <c r="D334" s="9"/>
      <c r="E334" s="9"/>
      <c r="F334" s="8"/>
      <c r="G334" s="8"/>
      <c r="H334" s="9"/>
      <c r="I334" s="9"/>
      <c r="J334" s="10"/>
      <c r="K334" s="9"/>
      <c r="L334" s="9"/>
      <c r="M334" s="9"/>
      <c r="N334" s="9"/>
      <c r="O334" s="9"/>
      <c r="P334" s="9"/>
    </row>
    <row r="335" spans="2:16" x14ac:dyDescent="0.25">
      <c r="B335" s="8"/>
      <c r="C335" s="9"/>
      <c r="D335" s="9"/>
      <c r="E335" s="9"/>
      <c r="F335" s="8"/>
      <c r="G335" s="8"/>
      <c r="H335" s="9"/>
      <c r="I335" s="9"/>
      <c r="J335" s="10"/>
      <c r="K335" s="9"/>
      <c r="L335" s="9"/>
      <c r="M335" s="9"/>
      <c r="N335" s="9"/>
      <c r="O335" s="9"/>
      <c r="P335" s="9"/>
    </row>
    <row r="336" spans="2:16" x14ac:dyDescent="0.25">
      <c r="B336" s="8"/>
      <c r="C336" s="9"/>
      <c r="D336" s="9"/>
      <c r="E336" s="9"/>
      <c r="F336" s="8"/>
      <c r="G336" s="8"/>
      <c r="H336" s="9"/>
      <c r="I336" s="9"/>
      <c r="J336" s="10"/>
      <c r="K336" s="9"/>
      <c r="L336" s="9"/>
      <c r="M336" s="9"/>
      <c r="N336" s="9"/>
      <c r="O336" s="9"/>
      <c r="P336" s="9"/>
    </row>
    <row r="337" spans="1:16" x14ac:dyDescent="0.25">
      <c r="B337" s="8"/>
      <c r="C337" s="9"/>
      <c r="D337" s="9"/>
      <c r="E337" s="9"/>
      <c r="F337" s="8"/>
      <c r="G337" s="8"/>
      <c r="H337" s="9"/>
      <c r="I337" s="9"/>
      <c r="J337" s="10"/>
      <c r="K337" s="9"/>
      <c r="L337" s="9"/>
      <c r="M337" s="9"/>
      <c r="N337" s="9"/>
      <c r="O337" s="9"/>
      <c r="P337" s="9"/>
    </row>
    <row r="338" spans="1:16" x14ac:dyDescent="0.25">
      <c r="B338" s="8"/>
      <c r="C338" s="9"/>
      <c r="D338" s="9"/>
      <c r="E338" s="9"/>
      <c r="F338" s="8"/>
      <c r="G338" s="8"/>
      <c r="H338" s="9"/>
      <c r="I338" s="9"/>
      <c r="J338" s="10"/>
      <c r="K338" s="9"/>
      <c r="L338" s="9"/>
      <c r="M338" s="9"/>
      <c r="N338" s="9"/>
      <c r="O338" s="9"/>
      <c r="P338" s="9"/>
    </row>
    <row r="339" spans="1:16" x14ac:dyDescent="0.25">
      <c r="B339" s="8"/>
      <c r="C339" s="9"/>
      <c r="D339" s="9"/>
      <c r="E339" s="9"/>
      <c r="F339" s="8"/>
      <c r="G339" s="8"/>
      <c r="H339" s="9"/>
      <c r="I339" s="9"/>
      <c r="J339" s="10"/>
      <c r="K339" s="9"/>
      <c r="L339" s="9"/>
      <c r="M339" s="9"/>
      <c r="N339" s="9"/>
      <c r="O339" s="9"/>
      <c r="P339" s="9"/>
    </row>
    <row r="340" spans="1:16" x14ac:dyDescent="0.25">
      <c r="B340" s="8"/>
      <c r="C340" s="9"/>
      <c r="D340" s="9"/>
      <c r="E340" s="9"/>
      <c r="F340" s="8"/>
      <c r="G340" s="8"/>
      <c r="H340" s="9"/>
      <c r="I340" s="9"/>
      <c r="J340" s="10"/>
      <c r="K340" s="9"/>
      <c r="L340" s="9"/>
      <c r="M340" s="9"/>
      <c r="N340" s="9"/>
      <c r="O340" s="9"/>
      <c r="P340" s="9"/>
    </row>
    <row r="342" spans="1:16" hidden="1" x14ac:dyDescent="0.25"/>
    <row r="343" spans="1:16" hidden="1" x14ac:dyDescent="0.25">
      <c r="A343" s="6" t="s">
        <v>42</v>
      </c>
    </row>
    <row r="344" spans="1:16" hidden="1" x14ac:dyDescent="0.25">
      <c r="A344" t="s">
        <v>245</v>
      </c>
    </row>
    <row r="345" spans="1:16" hidden="1" x14ac:dyDescent="0.25">
      <c r="A345" t="s">
        <v>51</v>
      </c>
    </row>
    <row r="346" spans="1:16" hidden="1" x14ac:dyDescent="0.25">
      <c r="A346" t="s">
        <v>52</v>
      </c>
    </row>
    <row r="347" spans="1:16" hidden="1" x14ac:dyDescent="0.25">
      <c r="A347" t="s">
        <v>53</v>
      </c>
    </row>
    <row r="348" spans="1:16" hidden="1" x14ac:dyDescent="0.25">
      <c r="A348" t="s">
        <v>54</v>
      </c>
    </row>
    <row r="349" spans="1:16" hidden="1" x14ac:dyDescent="0.25">
      <c r="A349" t="s">
        <v>55</v>
      </c>
    </row>
    <row r="350" spans="1:16" hidden="1" x14ac:dyDescent="0.25">
      <c r="A350" t="s">
        <v>56</v>
      </c>
    </row>
    <row r="351" spans="1:16" hidden="1" x14ac:dyDescent="0.25">
      <c r="A351" t="s">
        <v>57</v>
      </c>
    </row>
    <row r="352" spans="1:16" hidden="1" x14ac:dyDescent="0.25">
      <c r="A352" t="s">
        <v>58</v>
      </c>
    </row>
    <row r="353" spans="1:1" hidden="1" x14ac:dyDescent="0.25">
      <c r="A353" t="s">
        <v>59</v>
      </c>
    </row>
    <row r="354" spans="1:1" hidden="1" x14ac:dyDescent="0.25">
      <c r="A354" t="s">
        <v>60</v>
      </c>
    </row>
    <row r="355" spans="1:1" hidden="1" x14ac:dyDescent="0.25">
      <c r="A355" t="s">
        <v>61</v>
      </c>
    </row>
    <row r="356" spans="1:1" hidden="1" x14ac:dyDescent="0.25">
      <c r="A356" t="s">
        <v>62</v>
      </c>
    </row>
    <row r="357" spans="1:1" hidden="1" x14ac:dyDescent="0.25">
      <c r="A357" t="s">
        <v>63</v>
      </c>
    </row>
    <row r="358" spans="1:1" hidden="1" x14ac:dyDescent="0.25">
      <c r="A358" t="s">
        <v>64</v>
      </c>
    </row>
    <row r="359" spans="1:1" hidden="1" x14ac:dyDescent="0.25">
      <c r="A359" t="s">
        <v>65</v>
      </c>
    </row>
    <row r="360" spans="1:1" hidden="1" x14ac:dyDescent="0.25">
      <c r="A360" t="s">
        <v>66</v>
      </c>
    </row>
    <row r="361" spans="1:1" hidden="1" x14ac:dyDescent="0.25">
      <c r="A361" t="s">
        <v>67</v>
      </c>
    </row>
    <row r="362" spans="1:1" hidden="1" x14ac:dyDescent="0.25">
      <c r="A362" t="s">
        <v>68</v>
      </c>
    </row>
    <row r="363" spans="1:1" hidden="1" x14ac:dyDescent="0.25">
      <c r="A363" t="s">
        <v>69</v>
      </c>
    </row>
    <row r="364" spans="1:1" hidden="1" x14ac:dyDescent="0.25">
      <c r="A364" t="s">
        <v>70</v>
      </c>
    </row>
    <row r="365" spans="1:1" hidden="1" x14ac:dyDescent="0.25">
      <c r="A365" t="s">
        <v>71</v>
      </c>
    </row>
    <row r="366" spans="1:1" hidden="1" x14ac:dyDescent="0.25">
      <c r="A366" t="s">
        <v>72</v>
      </c>
    </row>
    <row r="367" spans="1:1" hidden="1" x14ac:dyDescent="0.25">
      <c r="A367" t="s">
        <v>73</v>
      </c>
    </row>
    <row r="368" spans="1:1" hidden="1" x14ac:dyDescent="0.25">
      <c r="A368" t="s">
        <v>74</v>
      </c>
    </row>
    <row r="369" spans="1:1" hidden="1" x14ac:dyDescent="0.25">
      <c r="A369" t="s">
        <v>75</v>
      </c>
    </row>
    <row r="370" spans="1:1" hidden="1" x14ac:dyDescent="0.25">
      <c r="A370" t="s">
        <v>76</v>
      </c>
    </row>
    <row r="371" spans="1:1" hidden="1" x14ac:dyDescent="0.25">
      <c r="A371" t="s">
        <v>77</v>
      </c>
    </row>
    <row r="372" spans="1:1" hidden="1" x14ac:dyDescent="0.25">
      <c r="A372" t="s">
        <v>78</v>
      </c>
    </row>
    <row r="373" spans="1:1" hidden="1" x14ac:dyDescent="0.25">
      <c r="A373" t="s">
        <v>79</v>
      </c>
    </row>
    <row r="374" spans="1:1" hidden="1" x14ac:dyDescent="0.25">
      <c r="A374" t="s">
        <v>80</v>
      </c>
    </row>
    <row r="375" spans="1:1" hidden="1" x14ac:dyDescent="0.25">
      <c r="A375" t="s">
        <v>81</v>
      </c>
    </row>
    <row r="376" spans="1:1" hidden="1" x14ac:dyDescent="0.25">
      <c r="A376" t="s">
        <v>82</v>
      </c>
    </row>
    <row r="377" spans="1:1" hidden="1" x14ac:dyDescent="0.25">
      <c r="A377" t="s">
        <v>83</v>
      </c>
    </row>
    <row r="378" spans="1:1" hidden="1" x14ac:dyDescent="0.25">
      <c r="A378" t="s">
        <v>84</v>
      </c>
    </row>
    <row r="379" spans="1:1" hidden="1" x14ac:dyDescent="0.25">
      <c r="A379" t="s">
        <v>85</v>
      </c>
    </row>
    <row r="380" spans="1:1" hidden="1" x14ac:dyDescent="0.25">
      <c r="A380" t="s">
        <v>86</v>
      </c>
    </row>
    <row r="381" spans="1:1" hidden="1" x14ac:dyDescent="0.25">
      <c r="A381" t="s">
        <v>87</v>
      </c>
    </row>
    <row r="382" spans="1:1" hidden="1" x14ac:dyDescent="0.25">
      <c r="A382" t="s">
        <v>88</v>
      </c>
    </row>
    <row r="383" spans="1:1" hidden="1" x14ac:dyDescent="0.25">
      <c r="A383" t="s">
        <v>89</v>
      </c>
    </row>
    <row r="384" spans="1:1" hidden="1" x14ac:dyDescent="0.25">
      <c r="A384" t="s">
        <v>90</v>
      </c>
    </row>
    <row r="385" spans="1:1" hidden="1" x14ac:dyDescent="0.25">
      <c r="A385" t="s">
        <v>91</v>
      </c>
    </row>
    <row r="386" spans="1:1" hidden="1" x14ac:dyDescent="0.25">
      <c r="A386" t="s">
        <v>92</v>
      </c>
    </row>
    <row r="387" spans="1:1" hidden="1" x14ac:dyDescent="0.25">
      <c r="A387" t="s">
        <v>93</v>
      </c>
    </row>
    <row r="388" spans="1:1" hidden="1" x14ac:dyDescent="0.25">
      <c r="A388" t="s">
        <v>94</v>
      </c>
    </row>
    <row r="389" spans="1:1" hidden="1" x14ac:dyDescent="0.25">
      <c r="A389" t="s">
        <v>95</v>
      </c>
    </row>
    <row r="390" spans="1:1" hidden="1" x14ac:dyDescent="0.25">
      <c r="A390" t="s">
        <v>96</v>
      </c>
    </row>
    <row r="391" spans="1:1" hidden="1" x14ac:dyDescent="0.25">
      <c r="A391" t="s">
        <v>97</v>
      </c>
    </row>
    <row r="392" spans="1:1" hidden="1" x14ac:dyDescent="0.25">
      <c r="A392" t="s">
        <v>98</v>
      </c>
    </row>
    <row r="393" spans="1:1" hidden="1" x14ac:dyDescent="0.25">
      <c r="A393" t="s">
        <v>99</v>
      </c>
    </row>
    <row r="394" spans="1:1" hidden="1" x14ac:dyDescent="0.25">
      <c r="A394" t="s">
        <v>100</v>
      </c>
    </row>
    <row r="395" spans="1:1" hidden="1" x14ac:dyDescent="0.25">
      <c r="A395" t="s">
        <v>101</v>
      </c>
    </row>
    <row r="396" spans="1:1" hidden="1" x14ac:dyDescent="0.25">
      <c r="A396" t="s">
        <v>102</v>
      </c>
    </row>
    <row r="397" spans="1:1" hidden="1" x14ac:dyDescent="0.25">
      <c r="A397" t="s">
        <v>103</v>
      </c>
    </row>
    <row r="398" spans="1:1" hidden="1" x14ac:dyDescent="0.25">
      <c r="A398" t="s">
        <v>104</v>
      </c>
    </row>
    <row r="399" spans="1:1" hidden="1" x14ac:dyDescent="0.25">
      <c r="A399" t="s">
        <v>105</v>
      </c>
    </row>
    <row r="400" spans="1:1" hidden="1" x14ac:dyDescent="0.25">
      <c r="A400" t="s">
        <v>106</v>
      </c>
    </row>
    <row r="401" spans="1:1" hidden="1" x14ac:dyDescent="0.25">
      <c r="A401" t="s">
        <v>107</v>
      </c>
    </row>
    <row r="402" spans="1:1" hidden="1" x14ac:dyDescent="0.25">
      <c r="A402" t="s">
        <v>108</v>
      </c>
    </row>
    <row r="403" spans="1:1" hidden="1" x14ac:dyDescent="0.25">
      <c r="A403" t="s">
        <v>109</v>
      </c>
    </row>
    <row r="404" spans="1:1" hidden="1" x14ac:dyDescent="0.25">
      <c r="A404" t="s">
        <v>110</v>
      </c>
    </row>
    <row r="405" spans="1:1" hidden="1" x14ac:dyDescent="0.25">
      <c r="A405" t="s">
        <v>111</v>
      </c>
    </row>
    <row r="406" spans="1:1" hidden="1" x14ac:dyDescent="0.25">
      <c r="A406" t="s">
        <v>112</v>
      </c>
    </row>
    <row r="407" spans="1:1" hidden="1" x14ac:dyDescent="0.25">
      <c r="A407" t="s">
        <v>113</v>
      </c>
    </row>
    <row r="408" spans="1:1" hidden="1" x14ac:dyDescent="0.25">
      <c r="A408" t="s">
        <v>114</v>
      </c>
    </row>
    <row r="409" spans="1:1" hidden="1" x14ac:dyDescent="0.25">
      <c r="A409" t="s">
        <v>115</v>
      </c>
    </row>
    <row r="410" spans="1:1" hidden="1" x14ac:dyDescent="0.25">
      <c r="A410" t="s">
        <v>116</v>
      </c>
    </row>
    <row r="411" spans="1:1" hidden="1" x14ac:dyDescent="0.25">
      <c r="A411" t="s">
        <v>117</v>
      </c>
    </row>
    <row r="412" spans="1:1" hidden="1" x14ac:dyDescent="0.25">
      <c r="A412" t="s">
        <v>118</v>
      </c>
    </row>
    <row r="413" spans="1:1" hidden="1" x14ac:dyDescent="0.25">
      <c r="A413" t="s">
        <v>119</v>
      </c>
    </row>
    <row r="414" spans="1:1" hidden="1" x14ac:dyDescent="0.25">
      <c r="A414" t="s">
        <v>120</v>
      </c>
    </row>
    <row r="415" spans="1:1" hidden="1" x14ac:dyDescent="0.25">
      <c r="A415" t="s">
        <v>121</v>
      </c>
    </row>
    <row r="416" spans="1:1" hidden="1" x14ac:dyDescent="0.25">
      <c r="A416" t="s">
        <v>122</v>
      </c>
    </row>
    <row r="417" spans="1:1" hidden="1" x14ac:dyDescent="0.25">
      <c r="A417" t="s">
        <v>123</v>
      </c>
    </row>
    <row r="418" spans="1:1" hidden="1" x14ac:dyDescent="0.25">
      <c r="A418" t="s">
        <v>124</v>
      </c>
    </row>
    <row r="419" spans="1:1" hidden="1" x14ac:dyDescent="0.25">
      <c r="A419" t="s">
        <v>125</v>
      </c>
    </row>
    <row r="420" spans="1:1" hidden="1" x14ac:dyDescent="0.25">
      <c r="A420" t="s">
        <v>126</v>
      </c>
    </row>
    <row r="421" spans="1:1" hidden="1" x14ac:dyDescent="0.25">
      <c r="A421" t="s">
        <v>127</v>
      </c>
    </row>
    <row r="422" spans="1:1" hidden="1" x14ac:dyDescent="0.25">
      <c r="A422" t="s">
        <v>128</v>
      </c>
    </row>
    <row r="423" spans="1:1" hidden="1" x14ac:dyDescent="0.25">
      <c r="A423" t="s">
        <v>129</v>
      </c>
    </row>
    <row r="424" spans="1:1" hidden="1" x14ac:dyDescent="0.25">
      <c r="A424" t="s">
        <v>130</v>
      </c>
    </row>
    <row r="425" spans="1:1" hidden="1" x14ac:dyDescent="0.25">
      <c r="A425" t="s">
        <v>131</v>
      </c>
    </row>
    <row r="426" spans="1:1" hidden="1" x14ac:dyDescent="0.25">
      <c r="A426" t="s">
        <v>132</v>
      </c>
    </row>
    <row r="427" spans="1:1" hidden="1" x14ac:dyDescent="0.25">
      <c r="A427" t="s">
        <v>133</v>
      </c>
    </row>
    <row r="428" spans="1:1" hidden="1" x14ac:dyDescent="0.25">
      <c r="A428" t="s">
        <v>134</v>
      </c>
    </row>
    <row r="429" spans="1:1" hidden="1" x14ac:dyDescent="0.25">
      <c r="A429" t="s">
        <v>135</v>
      </c>
    </row>
    <row r="430" spans="1:1" hidden="1" x14ac:dyDescent="0.25">
      <c r="A430" t="s">
        <v>136</v>
      </c>
    </row>
    <row r="431" spans="1:1" hidden="1" x14ac:dyDescent="0.25">
      <c r="A431" t="s">
        <v>137</v>
      </c>
    </row>
    <row r="432" spans="1:1" hidden="1" x14ac:dyDescent="0.25">
      <c r="A432" t="s">
        <v>138</v>
      </c>
    </row>
    <row r="433" spans="1:1" hidden="1" x14ac:dyDescent="0.25">
      <c r="A433" t="s">
        <v>139</v>
      </c>
    </row>
    <row r="434" spans="1:1" hidden="1" x14ac:dyDescent="0.25">
      <c r="A434" t="s">
        <v>140</v>
      </c>
    </row>
    <row r="435" spans="1:1" hidden="1" x14ac:dyDescent="0.25">
      <c r="A435" t="s">
        <v>141</v>
      </c>
    </row>
    <row r="436" spans="1:1" hidden="1" x14ac:dyDescent="0.25">
      <c r="A436" t="s">
        <v>142</v>
      </c>
    </row>
    <row r="437" spans="1:1" hidden="1" x14ac:dyDescent="0.25">
      <c r="A437" t="s">
        <v>143</v>
      </c>
    </row>
    <row r="438" spans="1:1" hidden="1" x14ac:dyDescent="0.25">
      <c r="A438" t="s">
        <v>144</v>
      </c>
    </row>
    <row r="439" spans="1:1" hidden="1" x14ac:dyDescent="0.25">
      <c r="A439" t="s">
        <v>145</v>
      </c>
    </row>
    <row r="440" spans="1:1" hidden="1" x14ac:dyDescent="0.25">
      <c r="A440" t="s">
        <v>146</v>
      </c>
    </row>
    <row r="441" spans="1:1" hidden="1" x14ac:dyDescent="0.25">
      <c r="A441" t="s">
        <v>147</v>
      </c>
    </row>
    <row r="442" spans="1:1" hidden="1" x14ac:dyDescent="0.25">
      <c r="A442" t="s">
        <v>148</v>
      </c>
    </row>
    <row r="443" spans="1:1" hidden="1" x14ac:dyDescent="0.25">
      <c r="A443" t="s">
        <v>149</v>
      </c>
    </row>
    <row r="444" spans="1:1" hidden="1" x14ac:dyDescent="0.25">
      <c r="A444" t="s">
        <v>150</v>
      </c>
    </row>
    <row r="445" spans="1:1" hidden="1" x14ac:dyDescent="0.25">
      <c r="A445" t="s">
        <v>151</v>
      </c>
    </row>
    <row r="446" spans="1:1" hidden="1" x14ac:dyDescent="0.25">
      <c r="A446" t="s">
        <v>152</v>
      </c>
    </row>
    <row r="447" spans="1:1" hidden="1" x14ac:dyDescent="0.25">
      <c r="A447" t="s">
        <v>153</v>
      </c>
    </row>
    <row r="448" spans="1:1" hidden="1" x14ac:dyDescent="0.25">
      <c r="A448" t="s">
        <v>154</v>
      </c>
    </row>
    <row r="449" spans="1:1" hidden="1" x14ac:dyDescent="0.25">
      <c r="A449" t="s">
        <v>155</v>
      </c>
    </row>
    <row r="450" spans="1:1" hidden="1" x14ac:dyDescent="0.25">
      <c r="A450" t="s">
        <v>156</v>
      </c>
    </row>
    <row r="451" spans="1:1" hidden="1" x14ac:dyDescent="0.25">
      <c r="A451" t="s">
        <v>157</v>
      </c>
    </row>
    <row r="452" spans="1:1" hidden="1" x14ac:dyDescent="0.25">
      <c r="A452" t="s">
        <v>158</v>
      </c>
    </row>
    <row r="453" spans="1:1" hidden="1" x14ac:dyDescent="0.25">
      <c r="A453" t="s">
        <v>159</v>
      </c>
    </row>
    <row r="454" spans="1:1" hidden="1" x14ac:dyDescent="0.25">
      <c r="A454" t="s">
        <v>160</v>
      </c>
    </row>
    <row r="455" spans="1:1" hidden="1" x14ac:dyDescent="0.25">
      <c r="A455" t="s">
        <v>161</v>
      </c>
    </row>
    <row r="456" spans="1:1" hidden="1" x14ac:dyDescent="0.25">
      <c r="A456" t="s">
        <v>162</v>
      </c>
    </row>
    <row r="457" spans="1:1" hidden="1" x14ac:dyDescent="0.25">
      <c r="A457" t="s">
        <v>163</v>
      </c>
    </row>
    <row r="458" spans="1:1" hidden="1" x14ac:dyDescent="0.25">
      <c r="A458" t="s">
        <v>164</v>
      </c>
    </row>
    <row r="459" spans="1:1" hidden="1" x14ac:dyDescent="0.25">
      <c r="A459" t="s">
        <v>165</v>
      </c>
    </row>
    <row r="460" spans="1:1" hidden="1" x14ac:dyDescent="0.25">
      <c r="A460" t="s">
        <v>166</v>
      </c>
    </row>
    <row r="461" spans="1:1" hidden="1" x14ac:dyDescent="0.25">
      <c r="A461" t="s">
        <v>167</v>
      </c>
    </row>
    <row r="462" spans="1:1" hidden="1" x14ac:dyDescent="0.25">
      <c r="A462" t="s">
        <v>168</v>
      </c>
    </row>
    <row r="463" spans="1:1" hidden="1" x14ac:dyDescent="0.25">
      <c r="A463" t="s">
        <v>169</v>
      </c>
    </row>
    <row r="464" spans="1:1" hidden="1" x14ac:dyDescent="0.25">
      <c r="A464" t="s">
        <v>170</v>
      </c>
    </row>
    <row r="465" spans="1:1" hidden="1" x14ac:dyDescent="0.25">
      <c r="A465" t="s">
        <v>171</v>
      </c>
    </row>
    <row r="466" spans="1:1" hidden="1" x14ac:dyDescent="0.25">
      <c r="A466" t="s">
        <v>172</v>
      </c>
    </row>
    <row r="467" spans="1:1" hidden="1" x14ac:dyDescent="0.25">
      <c r="A467" t="s">
        <v>173</v>
      </c>
    </row>
    <row r="468" spans="1:1" hidden="1" x14ac:dyDescent="0.25">
      <c r="A468" t="s">
        <v>174</v>
      </c>
    </row>
    <row r="469" spans="1:1" hidden="1" x14ac:dyDescent="0.25">
      <c r="A469" t="s">
        <v>175</v>
      </c>
    </row>
    <row r="470" spans="1:1" hidden="1" x14ac:dyDescent="0.25">
      <c r="A470" t="s">
        <v>176</v>
      </c>
    </row>
    <row r="471" spans="1:1" hidden="1" x14ac:dyDescent="0.25">
      <c r="A471" t="s">
        <v>177</v>
      </c>
    </row>
    <row r="472" spans="1:1" hidden="1" x14ac:dyDescent="0.25">
      <c r="A472" t="s">
        <v>178</v>
      </c>
    </row>
    <row r="473" spans="1:1" hidden="1" x14ac:dyDescent="0.25">
      <c r="A473" t="s">
        <v>179</v>
      </c>
    </row>
    <row r="474" spans="1:1" hidden="1" x14ac:dyDescent="0.25">
      <c r="A474" t="s">
        <v>180</v>
      </c>
    </row>
    <row r="475" spans="1:1" hidden="1" x14ac:dyDescent="0.25">
      <c r="A475" t="s">
        <v>181</v>
      </c>
    </row>
    <row r="476" spans="1:1" hidden="1" x14ac:dyDescent="0.25">
      <c r="A476" t="s">
        <v>182</v>
      </c>
    </row>
    <row r="477" spans="1:1" hidden="1" x14ac:dyDescent="0.25">
      <c r="A477" t="s">
        <v>183</v>
      </c>
    </row>
    <row r="478" spans="1:1" hidden="1" x14ac:dyDescent="0.25">
      <c r="A478" t="s">
        <v>184</v>
      </c>
    </row>
    <row r="479" spans="1:1" hidden="1" x14ac:dyDescent="0.25">
      <c r="A479" t="s">
        <v>185</v>
      </c>
    </row>
    <row r="480" spans="1:1" hidden="1" x14ac:dyDescent="0.25">
      <c r="A480" t="s">
        <v>186</v>
      </c>
    </row>
    <row r="481" spans="1:1" hidden="1" x14ac:dyDescent="0.25">
      <c r="A481" t="s">
        <v>187</v>
      </c>
    </row>
    <row r="482" spans="1:1" hidden="1" x14ac:dyDescent="0.25">
      <c r="A482" t="s">
        <v>188</v>
      </c>
    </row>
    <row r="483" spans="1:1" hidden="1" x14ac:dyDescent="0.25">
      <c r="A483" t="s">
        <v>189</v>
      </c>
    </row>
    <row r="484" spans="1:1" hidden="1" x14ac:dyDescent="0.25">
      <c r="A484" t="s">
        <v>190</v>
      </c>
    </row>
    <row r="485" spans="1:1" hidden="1" x14ac:dyDescent="0.25">
      <c r="A485" t="s">
        <v>191</v>
      </c>
    </row>
    <row r="486" spans="1:1" hidden="1" x14ac:dyDescent="0.25">
      <c r="A486" t="s">
        <v>192</v>
      </c>
    </row>
    <row r="487" spans="1:1" hidden="1" x14ac:dyDescent="0.25">
      <c r="A487" t="s">
        <v>193</v>
      </c>
    </row>
    <row r="488" spans="1:1" hidden="1" x14ac:dyDescent="0.25">
      <c r="A488" t="s">
        <v>194</v>
      </c>
    </row>
    <row r="489" spans="1:1" hidden="1" x14ac:dyDescent="0.25">
      <c r="A489" t="s">
        <v>195</v>
      </c>
    </row>
    <row r="490" spans="1:1" hidden="1" x14ac:dyDescent="0.25">
      <c r="A490" t="s">
        <v>196</v>
      </c>
    </row>
    <row r="491" spans="1:1" hidden="1" x14ac:dyDescent="0.25">
      <c r="A491" t="s">
        <v>197</v>
      </c>
    </row>
    <row r="492" spans="1:1" hidden="1" x14ac:dyDescent="0.25">
      <c r="A492" t="s">
        <v>198</v>
      </c>
    </row>
    <row r="493" spans="1:1" hidden="1" x14ac:dyDescent="0.25">
      <c r="A493" t="s">
        <v>199</v>
      </c>
    </row>
    <row r="494" spans="1:1" hidden="1" x14ac:dyDescent="0.25">
      <c r="A494" t="s">
        <v>200</v>
      </c>
    </row>
    <row r="495" spans="1:1" hidden="1" x14ac:dyDescent="0.25">
      <c r="A495" t="s">
        <v>201</v>
      </c>
    </row>
    <row r="496" spans="1:1" hidden="1" x14ac:dyDescent="0.25">
      <c r="A496" t="s">
        <v>202</v>
      </c>
    </row>
    <row r="497" spans="1:1" hidden="1" x14ac:dyDescent="0.25">
      <c r="A497" t="s">
        <v>203</v>
      </c>
    </row>
    <row r="498" spans="1:1" hidden="1" x14ac:dyDescent="0.25">
      <c r="A498" t="s">
        <v>204</v>
      </c>
    </row>
    <row r="499" spans="1:1" hidden="1" x14ac:dyDescent="0.25">
      <c r="A499" t="s">
        <v>205</v>
      </c>
    </row>
    <row r="500" spans="1:1" hidden="1" x14ac:dyDescent="0.25">
      <c r="A500" t="s">
        <v>206</v>
      </c>
    </row>
    <row r="501" spans="1:1" hidden="1" x14ac:dyDescent="0.25">
      <c r="A501" t="s">
        <v>207</v>
      </c>
    </row>
    <row r="502" spans="1:1" hidden="1" x14ac:dyDescent="0.25">
      <c r="A502" t="s">
        <v>208</v>
      </c>
    </row>
    <row r="503" spans="1:1" hidden="1" x14ac:dyDescent="0.25">
      <c r="A503" t="s">
        <v>209</v>
      </c>
    </row>
    <row r="504" spans="1:1" hidden="1" x14ac:dyDescent="0.25">
      <c r="A504" t="s">
        <v>210</v>
      </c>
    </row>
    <row r="505" spans="1:1" hidden="1" x14ac:dyDescent="0.25">
      <c r="A505" t="s">
        <v>211</v>
      </c>
    </row>
    <row r="506" spans="1:1" hidden="1" x14ac:dyDescent="0.25">
      <c r="A506" t="s">
        <v>212</v>
      </c>
    </row>
    <row r="507" spans="1:1" hidden="1" x14ac:dyDescent="0.25">
      <c r="A507" t="s">
        <v>213</v>
      </c>
    </row>
    <row r="508" spans="1:1" hidden="1" x14ac:dyDescent="0.25">
      <c r="A508" t="s">
        <v>214</v>
      </c>
    </row>
    <row r="509" spans="1:1" hidden="1" x14ac:dyDescent="0.25">
      <c r="A509" t="s">
        <v>215</v>
      </c>
    </row>
    <row r="510" spans="1:1" hidden="1" x14ac:dyDescent="0.25">
      <c r="A510" t="s">
        <v>216</v>
      </c>
    </row>
    <row r="511" spans="1:1" hidden="1" x14ac:dyDescent="0.25">
      <c r="A511" t="s">
        <v>217</v>
      </c>
    </row>
    <row r="512" spans="1:1" hidden="1" x14ac:dyDescent="0.25">
      <c r="A512" t="s">
        <v>218</v>
      </c>
    </row>
    <row r="513" spans="1:1" hidden="1" x14ac:dyDescent="0.25">
      <c r="A513" t="s">
        <v>219</v>
      </c>
    </row>
    <row r="514" spans="1:1" hidden="1" x14ac:dyDescent="0.25">
      <c r="A514" t="s">
        <v>220</v>
      </c>
    </row>
    <row r="515" spans="1:1" hidden="1" x14ac:dyDescent="0.25">
      <c r="A515" t="s">
        <v>221</v>
      </c>
    </row>
    <row r="516" spans="1:1" hidden="1" x14ac:dyDescent="0.25">
      <c r="A516" t="s">
        <v>222</v>
      </c>
    </row>
    <row r="517" spans="1:1" hidden="1" x14ac:dyDescent="0.25">
      <c r="A517" t="s">
        <v>223</v>
      </c>
    </row>
    <row r="518" spans="1:1" hidden="1" x14ac:dyDescent="0.25">
      <c r="A518" t="s">
        <v>224</v>
      </c>
    </row>
    <row r="519" spans="1:1" hidden="1" x14ac:dyDescent="0.25">
      <c r="A519" t="s">
        <v>225</v>
      </c>
    </row>
    <row r="520" spans="1:1" hidden="1" x14ac:dyDescent="0.25">
      <c r="A520" t="s">
        <v>226</v>
      </c>
    </row>
    <row r="521" spans="1:1" hidden="1" x14ac:dyDescent="0.25">
      <c r="A521" t="s">
        <v>227</v>
      </c>
    </row>
    <row r="522" spans="1:1" hidden="1" x14ac:dyDescent="0.25">
      <c r="A522" t="s">
        <v>228</v>
      </c>
    </row>
    <row r="523" spans="1:1" hidden="1" x14ac:dyDescent="0.25">
      <c r="A523" t="s">
        <v>229</v>
      </c>
    </row>
    <row r="524" spans="1:1" hidden="1" x14ac:dyDescent="0.25">
      <c r="A524" t="s">
        <v>230</v>
      </c>
    </row>
    <row r="525" spans="1:1" hidden="1" x14ac:dyDescent="0.25">
      <c r="A525" t="s">
        <v>231</v>
      </c>
    </row>
    <row r="526" spans="1:1" hidden="1" x14ac:dyDescent="0.25">
      <c r="A526" t="s">
        <v>232</v>
      </c>
    </row>
    <row r="527" spans="1:1" hidden="1" x14ac:dyDescent="0.25">
      <c r="A527" t="s">
        <v>233</v>
      </c>
    </row>
    <row r="528" spans="1:1" hidden="1" x14ac:dyDescent="0.25">
      <c r="A528" t="s">
        <v>234</v>
      </c>
    </row>
    <row r="529" spans="1:1" hidden="1" x14ac:dyDescent="0.25">
      <c r="A529" t="s">
        <v>235</v>
      </c>
    </row>
    <row r="530" spans="1:1" hidden="1" x14ac:dyDescent="0.25">
      <c r="A530" t="s">
        <v>236</v>
      </c>
    </row>
    <row r="531" spans="1:1" hidden="1" x14ac:dyDescent="0.25">
      <c r="A531" t="s">
        <v>237</v>
      </c>
    </row>
    <row r="532" spans="1:1" hidden="1" x14ac:dyDescent="0.25">
      <c r="A532" t="s">
        <v>238</v>
      </c>
    </row>
    <row r="533" spans="1:1" hidden="1" x14ac:dyDescent="0.25">
      <c r="A533" t="s">
        <v>239</v>
      </c>
    </row>
    <row r="534" spans="1:1" hidden="1" x14ac:dyDescent="0.25">
      <c r="A534" t="s">
        <v>240</v>
      </c>
    </row>
    <row r="535" spans="1:1" hidden="1" x14ac:dyDescent="0.25">
      <c r="A535" t="s">
        <v>241</v>
      </c>
    </row>
    <row r="536" spans="1:1" hidden="1" x14ac:dyDescent="0.25">
      <c r="A536" t="s">
        <v>242</v>
      </c>
    </row>
    <row r="537" spans="1:1" hidden="1" x14ac:dyDescent="0.25">
      <c r="A537" t="s">
        <v>243</v>
      </c>
    </row>
    <row r="538" spans="1:1" hidden="1" x14ac:dyDescent="0.25">
      <c r="A538" t="s">
        <v>244</v>
      </c>
    </row>
    <row r="539" spans="1:1" hidden="1" x14ac:dyDescent="0.25">
      <c r="A539" t="s">
        <v>246</v>
      </c>
    </row>
    <row r="540" spans="1:1" hidden="1" x14ac:dyDescent="0.25">
      <c r="A540" t="s">
        <v>247</v>
      </c>
    </row>
    <row r="541" spans="1:1" hidden="1" x14ac:dyDescent="0.25">
      <c r="A541" t="s">
        <v>248</v>
      </c>
    </row>
    <row r="542" spans="1:1" hidden="1" x14ac:dyDescent="0.25">
      <c r="A542" t="s">
        <v>249</v>
      </c>
    </row>
    <row r="543" spans="1:1" hidden="1" x14ac:dyDescent="0.25">
      <c r="A543" t="s">
        <v>250</v>
      </c>
    </row>
    <row r="544" spans="1:1" hidden="1" x14ac:dyDescent="0.25">
      <c r="A544" t="s">
        <v>251</v>
      </c>
    </row>
    <row r="545" spans="1:1" hidden="1" x14ac:dyDescent="0.25">
      <c r="A545" t="s">
        <v>252</v>
      </c>
    </row>
    <row r="546" spans="1:1" hidden="1" x14ac:dyDescent="0.25">
      <c r="A546" t="s">
        <v>253</v>
      </c>
    </row>
    <row r="547" spans="1:1" hidden="1" x14ac:dyDescent="0.25">
      <c r="A547" t="s">
        <v>254</v>
      </c>
    </row>
    <row r="548" spans="1:1" hidden="1" x14ac:dyDescent="0.25">
      <c r="A548" t="s">
        <v>255</v>
      </c>
    </row>
    <row r="549" spans="1:1" hidden="1" x14ac:dyDescent="0.25">
      <c r="A549" t="s">
        <v>256</v>
      </c>
    </row>
    <row r="550" spans="1:1" hidden="1" x14ac:dyDescent="0.25">
      <c r="A550" t="s">
        <v>257</v>
      </c>
    </row>
    <row r="551" spans="1:1" hidden="1" x14ac:dyDescent="0.25">
      <c r="A551" t="s">
        <v>258</v>
      </c>
    </row>
    <row r="552" spans="1:1" hidden="1" x14ac:dyDescent="0.25">
      <c r="A552" t="s">
        <v>259</v>
      </c>
    </row>
    <row r="553" spans="1:1" hidden="1" x14ac:dyDescent="0.25">
      <c r="A553" t="s">
        <v>260</v>
      </c>
    </row>
    <row r="554" spans="1:1" hidden="1" x14ac:dyDescent="0.25">
      <c r="A554" t="s">
        <v>261</v>
      </c>
    </row>
    <row r="555" spans="1:1" hidden="1" x14ac:dyDescent="0.25">
      <c r="A555" t="s">
        <v>262</v>
      </c>
    </row>
    <row r="556" spans="1:1" hidden="1" x14ac:dyDescent="0.25">
      <c r="A556" t="s">
        <v>263</v>
      </c>
    </row>
    <row r="557" spans="1:1" hidden="1" x14ac:dyDescent="0.25">
      <c r="A557" t="s">
        <v>264</v>
      </c>
    </row>
    <row r="558" spans="1:1" hidden="1" x14ac:dyDescent="0.25">
      <c r="A558" t="s">
        <v>265</v>
      </c>
    </row>
    <row r="559" spans="1:1" hidden="1" x14ac:dyDescent="0.25">
      <c r="A559" t="s">
        <v>266</v>
      </c>
    </row>
    <row r="560" spans="1:1" hidden="1" x14ac:dyDescent="0.25">
      <c r="A560" t="s">
        <v>267</v>
      </c>
    </row>
    <row r="561" spans="1:1" hidden="1" x14ac:dyDescent="0.25">
      <c r="A561" t="s">
        <v>268</v>
      </c>
    </row>
    <row r="562" spans="1:1" hidden="1" x14ac:dyDescent="0.25">
      <c r="A562" t="s">
        <v>269</v>
      </c>
    </row>
    <row r="563" spans="1:1" hidden="1" x14ac:dyDescent="0.25">
      <c r="A563" t="s">
        <v>270</v>
      </c>
    </row>
    <row r="564" spans="1:1" hidden="1" x14ac:dyDescent="0.25">
      <c r="A564" t="s">
        <v>271</v>
      </c>
    </row>
    <row r="565" spans="1:1" hidden="1" x14ac:dyDescent="0.25">
      <c r="A565" t="s">
        <v>272</v>
      </c>
    </row>
    <row r="566" spans="1:1" hidden="1" x14ac:dyDescent="0.25">
      <c r="A566" t="s">
        <v>273</v>
      </c>
    </row>
    <row r="567" spans="1:1" hidden="1" x14ac:dyDescent="0.25">
      <c r="A567" t="s">
        <v>274</v>
      </c>
    </row>
    <row r="568" spans="1:1" hidden="1" x14ac:dyDescent="0.25">
      <c r="A568" t="s">
        <v>275</v>
      </c>
    </row>
    <row r="569" spans="1:1" hidden="1" x14ac:dyDescent="0.25">
      <c r="A569" t="s">
        <v>276</v>
      </c>
    </row>
    <row r="570" spans="1:1" hidden="1" x14ac:dyDescent="0.25">
      <c r="A570" t="s">
        <v>277</v>
      </c>
    </row>
    <row r="571" spans="1:1" hidden="1" x14ac:dyDescent="0.25">
      <c r="A571" t="s">
        <v>278</v>
      </c>
    </row>
    <row r="572" spans="1:1" hidden="1" x14ac:dyDescent="0.25">
      <c r="A572" t="s">
        <v>279</v>
      </c>
    </row>
    <row r="573" spans="1:1" hidden="1" x14ac:dyDescent="0.25">
      <c r="A573" t="s">
        <v>280</v>
      </c>
    </row>
    <row r="574" spans="1:1" hidden="1" x14ac:dyDescent="0.25">
      <c r="A574" t="s">
        <v>281</v>
      </c>
    </row>
    <row r="575" spans="1:1" hidden="1" x14ac:dyDescent="0.25">
      <c r="A575" t="s">
        <v>282</v>
      </c>
    </row>
    <row r="576" spans="1:1" hidden="1" x14ac:dyDescent="0.25">
      <c r="A576" t="s">
        <v>283</v>
      </c>
    </row>
    <row r="577" spans="1:1" hidden="1" x14ac:dyDescent="0.25">
      <c r="A577" t="s">
        <v>284</v>
      </c>
    </row>
    <row r="578" spans="1:1" hidden="1" x14ac:dyDescent="0.25">
      <c r="A578" t="s">
        <v>285</v>
      </c>
    </row>
    <row r="579" spans="1:1" hidden="1" x14ac:dyDescent="0.25">
      <c r="A579" t="s">
        <v>286</v>
      </c>
    </row>
    <row r="580" spans="1:1" hidden="1" x14ac:dyDescent="0.25">
      <c r="A580" t="s">
        <v>287</v>
      </c>
    </row>
    <row r="581" spans="1:1" hidden="1" x14ac:dyDescent="0.25">
      <c r="A581" t="s">
        <v>288</v>
      </c>
    </row>
    <row r="582" spans="1:1" hidden="1" x14ac:dyDescent="0.25">
      <c r="A582" t="s">
        <v>289</v>
      </c>
    </row>
    <row r="583" spans="1:1" hidden="1" x14ac:dyDescent="0.25">
      <c r="A583" t="s">
        <v>290</v>
      </c>
    </row>
    <row r="584" spans="1:1" hidden="1" x14ac:dyDescent="0.25">
      <c r="A584" t="s">
        <v>291</v>
      </c>
    </row>
    <row r="585" spans="1:1" hidden="1" x14ac:dyDescent="0.25">
      <c r="A585" t="s">
        <v>292</v>
      </c>
    </row>
    <row r="586" spans="1:1" hidden="1" x14ac:dyDescent="0.25">
      <c r="A586" t="s">
        <v>293</v>
      </c>
    </row>
    <row r="587" spans="1:1" hidden="1" x14ac:dyDescent="0.25">
      <c r="A587" t="s">
        <v>294</v>
      </c>
    </row>
    <row r="588" spans="1:1" hidden="1" x14ac:dyDescent="0.25">
      <c r="A588" t="s">
        <v>295</v>
      </c>
    </row>
    <row r="589" spans="1:1" hidden="1" x14ac:dyDescent="0.25">
      <c r="A589" t="s">
        <v>296</v>
      </c>
    </row>
    <row r="590" spans="1:1" hidden="1" x14ac:dyDescent="0.25">
      <c r="A590" t="s">
        <v>297</v>
      </c>
    </row>
    <row r="591" spans="1:1" hidden="1" x14ac:dyDescent="0.25">
      <c r="A591" t="s">
        <v>298</v>
      </c>
    </row>
    <row r="592" spans="1:1" hidden="1" x14ac:dyDescent="0.25"/>
    <row r="593" spans="1:1" hidden="1" x14ac:dyDescent="0.25">
      <c r="A593" s="6" t="s">
        <v>41</v>
      </c>
    </row>
    <row r="594" spans="1:1" hidden="1" x14ac:dyDescent="0.25">
      <c r="A594" t="s">
        <v>447</v>
      </c>
    </row>
    <row r="595" spans="1:1" hidden="1" x14ac:dyDescent="0.25">
      <c r="A595" t="s">
        <v>299</v>
      </c>
    </row>
    <row r="596" spans="1:1" hidden="1" x14ac:dyDescent="0.25">
      <c r="A596" t="s">
        <v>300</v>
      </c>
    </row>
    <row r="597" spans="1:1" hidden="1" x14ac:dyDescent="0.25">
      <c r="A597" t="s">
        <v>301</v>
      </c>
    </row>
    <row r="598" spans="1:1" hidden="1" x14ac:dyDescent="0.25">
      <c r="A598" t="s">
        <v>477</v>
      </c>
    </row>
    <row r="599" spans="1:1" hidden="1" x14ac:dyDescent="0.25">
      <c r="A599" t="s">
        <v>54</v>
      </c>
    </row>
    <row r="600" spans="1:1" hidden="1" x14ac:dyDescent="0.25">
      <c r="A600" t="s">
        <v>302</v>
      </c>
    </row>
    <row r="601" spans="1:1" hidden="1" x14ac:dyDescent="0.25">
      <c r="A601" t="s">
        <v>303</v>
      </c>
    </row>
    <row r="602" spans="1:1" hidden="1" x14ac:dyDescent="0.25">
      <c r="A602" t="s">
        <v>488</v>
      </c>
    </row>
    <row r="603" spans="1:1" hidden="1" x14ac:dyDescent="0.25">
      <c r="A603" t="s">
        <v>304</v>
      </c>
    </row>
    <row r="604" spans="1:1" hidden="1" x14ac:dyDescent="0.25">
      <c r="A604" t="s">
        <v>305</v>
      </c>
    </row>
    <row r="605" spans="1:1" hidden="1" x14ac:dyDescent="0.25">
      <c r="A605" t="s">
        <v>306</v>
      </c>
    </row>
    <row r="606" spans="1:1" hidden="1" x14ac:dyDescent="0.25">
      <c r="A606" t="s">
        <v>307</v>
      </c>
    </row>
    <row r="607" spans="1:1" hidden="1" x14ac:dyDescent="0.25">
      <c r="A607" t="s">
        <v>308</v>
      </c>
    </row>
    <row r="608" spans="1:1" hidden="1" x14ac:dyDescent="0.25">
      <c r="A608" t="s">
        <v>309</v>
      </c>
    </row>
    <row r="609" spans="1:1" hidden="1" x14ac:dyDescent="0.25">
      <c r="A609" t="s">
        <v>310</v>
      </c>
    </row>
    <row r="610" spans="1:1" hidden="1" x14ac:dyDescent="0.25">
      <c r="A610" t="s">
        <v>311</v>
      </c>
    </row>
    <row r="611" spans="1:1" hidden="1" x14ac:dyDescent="0.25">
      <c r="A611" t="s">
        <v>312</v>
      </c>
    </row>
    <row r="612" spans="1:1" hidden="1" x14ac:dyDescent="0.25">
      <c r="A612" t="s">
        <v>68</v>
      </c>
    </row>
    <row r="613" spans="1:1" hidden="1" x14ac:dyDescent="0.25">
      <c r="A613" t="s">
        <v>313</v>
      </c>
    </row>
    <row r="614" spans="1:1" hidden="1" x14ac:dyDescent="0.25">
      <c r="A614" t="s">
        <v>314</v>
      </c>
    </row>
    <row r="615" spans="1:1" hidden="1" x14ac:dyDescent="0.25">
      <c r="A615" t="s">
        <v>315</v>
      </c>
    </row>
    <row r="616" spans="1:1" hidden="1" x14ac:dyDescent="0.25">
      <c r="A616" t="s">
        <v>316</v>
      </c>
    </row>
    <row r="617" spans="1:1" hidden="1" x14ac:dyDescent="0.25">
      <c r="A617" t="s">
        <v>317</v>
      </c>
    </row>
    <row r="618" spans="1:1" hidden="1" x14ac:dyDescent="0.25">
      <c r="A618" t="s">
        <v>318</v>
      </c>
    </row>
    <row r="619" spans="1:1" hidden="1" x14ac:dyDescent="0.25">
      <c r="A619" t="s">
        <v>319</v>
      </c>
    </row>
    <row r="620" spans="1:1" hidden="1" x14ac:dyDescent="0.25">
      <c r="A620" t="s">
        <v>77</v>
      </c>
    </row>
    <row r="621" spans="1:1" hidden="1" x14ac:dyDescent="0.25">
      <c r="A621" t="s">
        <v>320</v>
      </c>
    </row>
    <row r="622" spans="1:1" hidden="1" x14ac:dyDescent="0.25">
      <c r="A622" t="s">
        <v>476</v>
      </c>
    </row>
    <row r="623" spans="1:1" hidden="1" x14ac:dyDescent="0.25">
      <c r="A623" t="s">
        <v>489</v>
      </c>
    </row>
    <row r="624" spans="1:1" hidden="1" x14ac:dyDescent="0.25">
      <c r="A624" t="s">
        <v>490</v>
      </c>
    </row>
    <row r="625" spans="1:1" hidden="1" x14ac:dyDescent="0.25">
      <c r="A625" t="s">
        <v>491</v>
      </c>
    </row>
    <row r="626" spans="1:1" hidden="1" x14ac:dyDescent="0.25">
      <c r="A626" t="s">
        <v>492</v>
      </c>
    </row>
    <row r="627" spans="1:1" hidden="1" x14ac:dyDescent="0.25">
      <c r="A627" t="s">
        <v>493</v>
      </c>
    </row>
    <row r="628" spans="1:1" hidden="1" x14ac:dyDescent="0.25">
      <c r="A628" t="s">
        <v>321</v>
      </c>
    </row>
    <row r="629" spans="1:1" hidden="1" x14ac:dyDescent="0.25">
      <c r="A629" t="s">
        <v>322</v>
      </c>
    </row>
    <row r="630" spans="1:1" hidden="1" x14ac:dyDescent="0.25">
      <c r="A630" t="s">
        <v>323</v>
      </c>
    </row>
    <row r="631" spans="1:1" hidden="1" x14ac:dyDescent="0.25">
      <c r="A631" t="s">
        <v>324</v>
      </c>
    </row>
    <row r="632" spans="1:1" hidden="1" x14ac:dyDescent="0.25">
      <c r="A632" t="s">
        <v>325</v>
      </c>
    </row>
    <row r="633" spans="1:1" hidden="1" x14ac:dyDescent="0.25">
      <c r="A633" t="s">
        <v>326</v>
      </c>
    </row>
    <row r="634" spans="1:1" hidden="1" x14ac:dyDescent="0.25">
      <c r="A634" t="s">
        <v>327</v>
      </c>
    </row>
    <row r="635" spans="1:1" hidden="1" x14ac:dyDescent="0.25">
      <c r="A635" t="s">
        <v>328</v>
      </c>
    </row>
    <row r="636" spans="1:1" hidden="1" x14ac:dyDescent="0.25">
      <c r="A636" t="s">
        <v>92</v>
      </c>
    </row>
    <row r="637" spans="1:1" hidden="1" x14ac:dyDescent="0.25">
      <c r="A637" t="s">
        <v>329</v>
      </c>
    </row>
    <row r="638" spans="1:1" hidden="1" x14ac:dyDescent="0.25">
      <c r="A638" t="s">
        <v>330</v>
      </c>
    </row>
    <row r="639" spans="1:1" hidden="1" x14ac:dyDescent="0.25">
      <c r="A639" t="s">
        <v>331</v>
      </c>
    </row>
    <row r="640" spans="1:1" hidden="1" x14ac:dyDescent="0.25">
      <c r="A640" t="s">
        <v>332</v>
      </c>
    </row>
    <row r="641" spans="1:1" hidden="1" x14ac:dyDescent="0.25">
      <c r="A641" t="s">
        <v>333</v>
      </c>
    </row>
    <row r="642" spans="1:1" hidden="1" x14ac:dyDescent="0.25">
      <c r="A642" t="s">
        <v>334</v>
      </c>
    </row>
    <row r="643" spans="1:1" hidden="1" x14ac:dyDescent="0.25">
      <c r="A643" t="s">
        <v>335</v>
      </c>
    </row>
    <row r="644" spans="1:1" hidden="1" x14ac:dyDescent="0.25">
      <c r="A644" t="s">
        <v>336</v>
      </c>
    </row>
    <row r="645" spans="1:1" hidden="1" x14ac:dyDescent="0.25">
      <c r="A645" t="s">
        <v>337</v>
      </c>
    </row>
    <row r="646" spans="1:1" hidden="1" x14ac:dyDescent="0.25">
      <c r="A646" t="s">
        <v>338</v>
      </c>
    </row>
    <row r="647" spans="1:1" hidden="1" x14ac:dyDescent="0.25">
      <c r="A647" t="s">
        <v>339</v>
      </c>
    </row>
    <row r="648" spans="1:1" hidden="1" x14ac:dyDescent="0.25">
      <c r="A648" t="s">
        <v>340</v>
      </c>
    </row>
    <row r="649" spans="1:1" hidden="1" x14ac:dyDescent="0.25">
      <c r="A649" t="s">
        <v>494</v>
      </c>
    </row>
    <row r="650" spans="1:1" hidden="1" x14ac:dyDescent="0.25">
      <c r="A650" t="s">
        <v>341</v>
      </c>
    </row>
    <row r="651" spans="1:1" hidden="1" x14ac:dyDescent="0.25">
      <c r="A651" t="s">
        <v>342</v>
      </c>
    </row>
    <row r="652" spans="1:1" hidden="1" x14ac:dyDescent="0.25">
      <c r="A652" t="s">
        <v>343</v>
      </c>
    </row>
    <row r="653" spans="1:1" hidden="1" x14ac:dyDescent="0.25">
      <c r="A653" t="s">
        <v>344</v>
      </c>
    </row>
    <row r="654" spans="1:1" hidden="1" x14ac:dyDescent="0.25">
      <c r="A654" t="s">
        <v>495</v>
      </c>
    </row>
    <row r="655" spans="1:1" hidden="1" x14ac:dyDescent="0.25">
      <c r="A655" t="s">
        <v>345</v>
      </c>
    </row>
    <row r="656" spans="1:1" hidden="1" x14ac:dyDescent="0.25">
      <c r="A656" t="s">
        <v>346</v>
      </c>
    </row>
    <row r="657" spans="1:1" hidden="1" x14ac:dyDescent="0.25">
      <c r="A657" t="s">
        <v>347</v>
      </c>
    </row>
    <row r="658" spans="1:1" hidden="1" x14ac:dyDescent="0.25">
      <c r="A658" t="s">
        <v>116</v>
      </c>
    </row>
    <row r="659" spans="1:1" hidden="1" x14ac:dyDescent="0.25">
      <c r="A659" t="s">
        <v>349</v>
      </c>
    </row>
    <row r="660" spans="1:1" hidden="1" x14ac:dyDescent="0.25">
      <c r="A660" t="s">
        <v>350</v>
      </c>
    </row>
    <row r="661" spans="1:1" hidden="1" x14ac:dyDescent="0.25">
      <c r="A661" t="s">
        <v>351</v>
      </c>
    </row>
    <row r="662" spans="1:1" hidden="1" x14ac:dyDescent="0.25">
      <c r="A662" t="s">
        <v>352</v>
      </c>
    </row>
    <row r="663" spans="1:1" hidden="1" x14ac:dyDescent="0.25">
      <c r="A663" t="s">
        <v>432</v>
      </c>
    </row>
    <row r="664" spans="1:1" hidden="1" x14ac:dyDescent="0.25">
      <c r="A664" t="s">
        <v>353</v>
      </c>
    </row>
    <row r="665" spans="1:1" hidden="1" x14ac:dyDescent="0.25">
      <c r="A665" t="s">
        <v>354</v>
      </c>
    </row>
    <row r="666" spans="1:1" hidden="1" x14ac:dyDescent="0.25">
      <c r="A666" t="s">
        <v>355</v>
      </c>
    </row>
    <row r="667" spans="1:1" hidden="1" x14ac:dyDescent="0.25">
      <c r="A667" t="s">
        <v>356</v>
      </c>
    </row>
    <row r="668" spans="1:1" hidden="1" x14ac:dyDescent="0.25">
      <c r="A668" t="s">
        <v>128</v>
      </c>
    </row>
    <row r="669" spans="1:1" hidden="1" x14ac:dyDescent="0.25">
      <c r="A669" t="s">
        <v>357</v>
      </c>
    </row>
    <row r="670" spans="1:1" hidden="1" x14ac:dyDescent="0.25">
      <c r="A670" t="s">
        <v>358</v>
      </c>
    </row>
    <row r="671" spans="1:1" hidden="1" x14ac:dyDescent="0.25">
      <c r="A671" t="s">
        <v>359</v>
      </c>
    </row>
    <row r="672" spans="1:1" hidden="1" x14ac:dyDescent="0.25">
      <c r="A672" t="s">
        <v>360</v>
      </c>
    </row>
    <row r="673" spans="1:1" hidden="1" x14ac:dyDescent="0.25">
      <c r="A673" t="s">
        <v>361</v>
      </c>
    </row>
    <row r="674" spans="1:1" hidden="1" x14ac:dyDescent="0.25">
      <c r="A674" t="s">
        <v>362</v>
      </c>
    </row>
    <row r="675" spans="1:1" hidden="1" x14ac:dyDescent="0.25">
      <c r="A675" t="s">
        <v>363</v>
      </c>
    </row>
    <row r="676" spans="1:1" hidden="1" x14ac:dyDescent="0.25">
      <c r="A676" t="s">
        <v>364</v>
      </c>
    </row>
    <row r="677" spans="1:1" hidden="1" x14ac:dyDescent="0.25">
      <c r="A677" t="s">
        <v>365</v>
      </c>
    </row>
    <row r="678" spans="1:1" hidden="1" x14ac:dyDescent="0.25">
      <c r="A678" t="s">
        <v>366</v>
      </c>
    </row>
    <row r="679" spans="1:1" hidden="1" x14ac:dyDescent="0.25">
      <c r="A679" t="s">
        <v>367</v>
      </c>
    </row>
    <row r="680" spans="1:1" hidden="1" x14ac:dyDescent="0.25">
      <c r="A680" t="s">
        <v>368</v>
      </c>
    </row>
    <row r="681" spans="1:1" hidden="1" x14ac:dyDescent="0.25">
      <c r="A681" t="s">
        <v>369</v>
      </c>
    </row>
    <row r="682" spans="1:1" hidden="1" x14ac:dyDescent="0.25">
      <c r="A682" t="s">
        <v>370</v>
      </c>
    </row>
    <row r="683" spans="1:1" hidden="1" x14ac:dyDescent="0.25">
      <c r="A683" t="s">
        <v>371</v>
      </c>
    </row>
    <row r="684" spans="1:1" hidden="1" x14ac:dyDescent="0.25">
      <c r="A684" t="s">
        <v>372</v>
      </c>
    </row>
    <row r="685" spans="1:1" hidden="1" x14ac:dyDescent="0.25">
      <c r="A685" t="s">
        <v>373</v>
      </c>
    </row>
    <row r="686" spans="1:1" hidden="1" x14ac:dyDescent="0.25">
      <c r="A686" t="s">
        <v>374</v>
      </c>
    </row>
    <row r="687" spans="1:1" hidden="1" x14ac:dyDescent="0.25">
      <c r="A687" t="s">
        <v>375</v>
      </c>
    </row>
    <row r="688" spans="1:1" hidden="1" x14ac:dyDescent="0.25">
      <c r="A688" t="s">
        <v>376</v>
      </c>
    </row>
    <row r="689" spans="1:1" hidden="1" x14ac:dyDescent="0.25">
      <c r="A689" t="s">
        <v>377</v>
      </c>
    </row>
    <row r="690" spans="1:1" hidden="1" x14ac:dyDescent="0.25">
      <c r="A690" t="s">
        <v>378</v>
      </c>
    </row>
    <row r="691" spans="1:1" hidden="1" x14ac:dyDescent="0.25">
      <c r="A691" t="s">
        <v>379</v>
      </c>
    </row>
    <row r="692" spans="1:1" hidden="1" x14ac:dyDescent="0.25">
      <c r="A692" t="s">
        <v>380</v>
      </c>
    </row>
    <row r="693" spans="1:1" hidden="1" x14ac:dyDescent="0.25">
      <c r="A693" t="s">
        <v>159</v>
      </c>
    </row>
    <row r="694" spans="1:1" hidden="1" x14ac:dyDescent="0.25">
      <c r="A694" t="s">
        <v>381</v>
      </c>
    </row>
    <row r="695" spans="1:1" hidden="1" x14ac:dyDescent="0.25">
      <c r="A695" t="s">
        <v>382</v>
      </c>
    </row>
    <row r="696" spans="1:1" hidden="1" x14ac:dyDescent="0.25">
      <c r="A696" t="s">
        <v>383</v>
      </c>
    </row>
    <row r="697" spans="1:1" hidden="1" x14ac:dyDescent="0.25">
      <c r="A697" t="s">
        <v>496</v>
      </c>
    </row>
    <row r="698" spans="1:1" hidden="1" x14ac:dyDescent="0.25">
      <c r="A698" t="s">
        <v>384</v>
      </c>
    </row>
    <row r="699" spans="1:1" hidden="1" x14ac:dyDescent="0.25">
      <c r="A699" t="s">
        <v>385</v>
      </c>
    </row>
    <row r="700" spans="1:1" hidden="1" x14ac:dyDescent="0.25">
      <c r="A700" t="s">
        <v>386</v>
      </c>
    </row>
    <row r="701" spans="1:1" hidden="1" x14ac:dyDescent="0.25">
      <c r="A701" t="s">
        <v>167</v>
      </c>
    </row>
    <row r="702" spans="1:1" hidden="1" x14ac:dyDescent="0.25">
      <c r="A702" t="s">
        <v>455</v>
      </c>
    </row>
    <row r="703" spans="1:1" hidden="1" x14ac:dyDescent="0.25">
      <c r="A703" t="s">
        <v>387</v>
      </c>
    </row>
    <row r="704" spans="1:1" hidden="1" x14ac:dyDescent="0.25">
      <c r="A704" t="s">
        <v>388</v>
      </c>
    </row>
    <row r="705" spans="1:1" hidden="1" x14ac:dyDescent="0.25">
      <c r="A705" t="s">
        <v>497</v>
      </c>
    </row>
    <row r="706" spans="1:1" hidden="1" x14ac:dyDescent="0.25">
      <c r="A706" t="s">
        <v>389</v>
      </c>
    </row>
    <row r="707" spans="1:1" hidden="1" x14ac:dyDescent="0.25">
      <c r="A707" t="s">
        <v>498</v>
      </c>
    </row>
    <row r="708" spans="1:1" hidden="1" x14ac:dyDescent="0.25">
      <c r="A708" t="s">
        <v>171</v>
      </c>
    </row>
    <row r="709" spans="1:1" hidden="1" x14ac:dyDescent="0.25">
      <c r="A709" t="s">
        <v>390</v>
      </c>
    </row>
    <row r="710" spans="1:1" hidden="1" x14ac:dyDescent="0.25">
      <c r="A710" t="s">
        <v>391</v>
      </c>
    </row>
    <row r="711" spans="1:1" hidden="1" x14ac:dyDescent="0.25">
      <c r="A711" t="s">
        <v>392</v>
      </c>
    </row>
    <row r="712" spans="1:1" hidden="1" x14ac:dyDescent="0.25">
      <c r="A712" t="s">
        <v>175</v>
      </c>
    </row>
    <row r="713" spans="1:1" hidden="1" x14ac:dyDescent="0.25">
      <c r="A713" t="s">
        <v>393</v>
      </c>
    </row>
    <row r="714" spans="1:1" hidden="1" x14ac:dyDescent="0.25">
      <c r="A714" t="s">
        <v>394</v>
      </c>
    </row>
    <row r="715" spans="1:1" hidden="1" x14ac:dyDescent="0.25">
      <c r="A715" t="s">
        <v>395</v>
      </c>
    </row>
    <row r="716" spans="1:1" hidden="1" x14ac:dyDescent="0.25">
      <c r="A716" t="s">
        <v>396</v>
      </c>
    </row>
    <row r="717" spans="1:1" hidden="1" x14ac:dyDescent="0.25">
      <c r="A717" t="s">
        <v>397</v>
      </c>
    </row>
    <row r="718" spans="1:1" hidden="1" x14ac:dyDescent="0.25">
      <c r="A718" t="s">
        <v>398</v>
      </c>
    </row>
    <row r="719" spans="1:1" hidden="1" x14ac:dyDescent="0.25">
      <c r="A719" t="s">
        <v>399</v>
      </c>
    </row>
    <row r="720" spans="1:1" hidden="1" x14ac:dyDescent="0.25">
      <c r="A720" t="s">
        <v>400</v>
      </c>
    </row>
    <row r="721" spans="1:1" hidden="1" x14ac:dyDescent="0.25">
      <c r="A721" t="s">
        <v>401</v>
      </c>
    </row>
    <row r="722" spans="1:1" hidden="1" x14ac:dyDescent="0.25">
      <c r="A722" t="s">
        <v>402</v>
      </c>
    </row>
    <row r="723" spans="1:1" hidden="1" x14ac:dyDescent="0.25">
      <c r="A723" t="s">
        <v>403</v>
      </c>
    </row>
    <row r="724" spans="1:1" hidden="1" x14ac:dyDescent="0.25">
      <c r="A724" t="s">
        <v>404</v>
      </c>
    </row>
    <row r="725" spans="1:1" hidden="1" x14ac:dyDescent="0.25">
      <c r="A725" t="s">
        <v>405</v>
      </c>
    </row>
    <row r="726" spans="1:1" hidden="1" x14ac:dyDescent="0.25">
      <c r="A726" t="s">
        <v>406</v>
      </c>
    </row>
    <row r="727" spans="1:1" hidden="1" x14ac:dyDescent="0.25">
      <c r="A727" t="s">
        <v>407</v>
      </c>
    </row>
    <row r="728" spans="1:1" hidden="1" x14ac:dyDescent="0.25">
      <c r="A728" t="s">
        <v>408</v>
      </c>
    </row>
    <row r="729" spans="1:1" hidden="1" x14ac:dyDescent="0.25">
      <c r="A729" t="s">
        <v>409</v>
      </c>
    </row>
    <row r="730" spans="1:1" hidden="1" x14ac:dyDescent="0.25">
      <c r="A730" t="s">
        <v>410</v>
      </c>
    </row>
    <row r="731" spans="1:1" hidden="1" x14ac:dyDescent="0.25">
      <c r="A731" t="s">
        <v>499</v>
      </c>
    </row>
    <row r="732" spans="1:1" hidden="1" x14ac:dyDescent="0.25">
      <c r="A732" t="s">
        <v>411</v>
      </c>
    </row>
    <row r="733" spans="1:1" hidden="1" x14ac:dyDescent="0.25">
      <c r="A733" t="s">
        <v>412</v>
      </c>
    </row>
    <row r="734" spans="1:1" hidden="1" x14ac:dyDescent="0.25">
      <c r="A734" t="s">
        <v>413</v>
      </c>
    </row>
    <row r="735" spans="1:1" hidden="1" x14ac:dyDescent="0.25">
      <c r="A735" t="s">
        <v>414</v>
      </c>
    </row>
    <row r="736" spans="1:1" hidden="1" x14ac:dyDescent="0.25">
      <c r="A736" t="s">
        <v>415</v>
      </c>
    </row>
    <row r="737" spans="1:1" hidden="1" x14ac:dyDescent="0.25">
      <c r="A737" t="s">
        <v>203</v>
      </c>
    </row>
    <row r="738" spans="1:1" hidden="1" x14ac:dyDescent="0.25">
      <c r="A738" t="s">
        <v>416</v>
      </c>
    </row>
    <row r="739" spans="1:1" hidden="1" x14ac:dyDescent="0.25">
      <c r="A739" t="s">
        <v>417</v>
      </c>
    </row>
    <row r="740" spans="1:1" hidden="1" x14ac:dyDescent="0.25">
      <c r="A740" t="s">
        <v>418</v>
      </c>
    </row>
    <row r="741" spans="1:1" hidden="1" x14ac:dyDescent="0.25">
      <c r="A741" t="s">
        <v>207</v>
      </c>
    </row>
    <row r="742" spans="1:1" hidden="1" x14ac:dyDescent="0.25">
      <c r="A742" t="s">
        <v>208</v>
      </c>
    </row>
    <row r="743" spans="1:1" hidden="1" x14ac:dyDescent="0.25">
      <c r="A743" t="s">
        <v>209</v>
      </c>
    </row>
    <row r="744" spans="1:1" hidden="1" x14ac:dyDescent="0.25">
      <c r="A744" t="s">
        <v>419</v>
      </c>
    </row>
    <row r="745" spans="1:1" hidden="1" x14ac:dyDescent="0.25">
      <c r="A745" t="s">
        <v>420</v>
      </c>
    </row>
    <row r="746" spans="1:1" hidden="1" x14ac:dyDescent="0.25">
      <c r="A746" t="s">
        <v>212</v>
      </c>
    </row>
    <row r="747" spans="1:1" hidden="1" x14ac:dyDescent="0.25">
      <c r="A747" t="s">
        <v>421</v>
      </c>
    </row>
    <row r="748" spans="1:1" hidden="1" x14ac:dyDescent="0.25">
      <c r="A748" t="s">
        <v>422</v>
      </c>
    </row>
    <row r="749" spans="1:1" hidden="1" x14ac:dyDescent="0.25">
      <c r="A749" t="s">
        <v>479</v>
      </c>
    </row>
    <row r="750" spans="1:1" hidden="1" x14ac:dyDescent="0.25">
      <c r="A750" t="s">
        <v>423</v>
      </c>
    </row>
    <row r="751" spans="1:1" hidden="1" x14ac:dyDescent="0.25">
      <c r="A751" t="s">
        <v>424</v>
      </c>
    </row>
    <row r="752" spans="1:1" hidden="1" x14ac:dyDescent="0.25">
      <c r="A752" t="s">
        <v>218</v>
      </c>
    </row>
    <row r="753" spans="1:1" hidden="1" x14ac:dyDescent="0.25">
      <c r="A753" t="s">
        <v>425</v>
      </c>
    </row>
    <row r="754" spans="1:1" hidden="1" x14ac:dyDescent="0.25">
      <c r="A754" t="s">
        <v>426</v>
      </c>
    </row>
    <row r="755" spans="1:1" hidden="1" x14ac:dyDescent="0.25">
      <c r="A755" t="s">
        <v>427</v>
      </c>
    </row>
    <row r="756" spans="1:1" hidden="1" x14ac:dyDescent="0.25">
      <c r="A756" t="s">
        <v>428</v>
      </c>
    </row>
    <row r="757" spans="1:1" hidden="1" x14ac:dyDescent="0.25">
      <c r="A757" t="s">
        <v>429</v>
      </c>
    </row>
    <row r="758" spans="1:1" hidden="1" x14ac:dyDescent="0.25">
      <c r="A758" t="s">
        <v>430</v>
      </c>
    </row>
    <row r="759" spans="1:1" hidden="1" x14ac:dyDescent="0.25">
      <c r="A759" t="s">
        <v>431</v>
      </c>
    </row>
    <row r="760" spans="1:1" hidden="1" x14ac:dyDescent="0.25">
      <c r="A760" t="s">
        <v>433</v>
      </c>
    </row>
    <row r="761" spans="1:1" hidden="1" x14ac:dyDescent="0.25">
      <c r="A761" t="s">
        <v>434</v>
      </c>
    </row>
    <row r="762" spans="1:1" hidden="1" x14ac:dyDescent="0.25">
      <c r="A762" t="s">
        <v>435</v>
      </c>
    </row>
    <row r="763" spans="1:1" hidden="1" x14ac:dyDescent="0.25">
      <c r="A763" t="s">
        <v>436</v>
      </c>
    </row>
    <row r="764" spans="1:1" hidden="1" x14ac:dyDescent="0.25">
      <c r="A764" t="s">
        <v>437</v>
      </c>
    </row>
    <row r="765" spans="1:1" hidden="1" x14ac:dyDescent="0.25">
      <c r="A765" t="s">
        <v>438</v>
      </c>
    </row>
    <row r="766" spans="1:1" hidden="1" x14ac:dyDescent="0.25">
      <c r="A766" t="s">
        <v>439</v>
      </c>
    </row>
    <row r="767" spans="1:1" hidden="1" x14ac:dyDescent="0.25">
      <c r="A767" t="s">
        <v>440</v>
      </c>
    </row>
    <row r="768" spans="1:1" hidden="1" x14ac:dyDescent="0.25">
      <c r="A768" t="s">
        <v>441</v>
      </c>
    </row>
    <row r="769" spans="1:1" hidden="1" x14ac:dyDescent="0.25">
      <c r="A769" t="s">
        <v>504</v>
      </c>
    </row>
    <row r="770" spans="1:1" hidden="1" x14ac:dyDescent="0.25">
      <c r="A770" t="s">
        <v>348</v>
      </c>
    </row>
    <row r="771" spans="1:1" hidden="1" x14ac:dyDescent="0.25">
      <c r="A771" t="s">
        <v>442</v>
      </c>
    </row>
    <row r="772" spans="1:1" hidden="1" x14ac:dyDescent="0.25">
      <c r="A772" t="s">
        <v>443</v>
      </c>
    </row>
    <row r="773" spans="1:1" hidden="1" x14ac:dyDescent="0.25">
      <c r="A773" t="s">
        <v>444</v>
      </c>
    </row>
    <row r="774" spans="1:1" hidden="1" x14ac:dyDescent="0.25">
      <c r="A774" t="s">
        <v>445</v>
      </c>
    </row>
    <row r="775" spans="1:1" hidden="1" x14ac:dyDescent="0.25">
      <c r="A775" t="s">
        <v>446</v>
      </c>
    </row>
    <row r="776" spans="1:1" hidden="1" x14ac:dyDescent="0.25">
      <c r="A776" t="s">
        <v>244</v>
      </c>
    </row>
    <row r="777" spans="1:1" hidden="1" x14ac:dyDescent="0.25">
      <c r="A777" t="s">
        <v>448</v>
      </c>
    </row>
    <row r="778" spans="1:1" hidden="1" x14ac:dyDescent="0.25">
      <c r="A778" t="s">
        <v>449</v>
      </c>
    </row>
    <row r="779" spans="1:1" hidden="1" x14ac:dyDescent="0.25">
      <c r="A779" t="s">
        <v>450</v>
      </c>
    </row>
    <row r="780" spans="1:1" hidden="1" x14ac:dyDescent="0.25">
      <c r="A780" t="s">
        <v>451</v>
      </c>
    </row>
    <row r="781" spans="1:1" hidden="1" x14ac:dyDescent="0.25">
      <c r="A781" t="s">
        <v>452</v>
      </c>
    </row>
    <row r="782" spans="1:1" hidden="1" x14ac:dyDescent="0.25">
      <c r="A782" t="s">
        <v>453</v>
      </c>
    </row>
    <row r="783" spans="1:1" hidden="1" x14ac:dyDescent="0.25">
      <c r="A783" t="s">
        <v>454</v>
      </c>
    </row>
    <row r="784" spans="1:1" hidden="1" x14ac:dyDescent="0.25">
      <c r="A784" t="s">
        <v>255</v>
      </c>
    </row>
    <row r="785" spans="1:1" hidden="1" x14ac:dyDescent="0.25">
      <c r="A785" t="s">
        <v>456</v>
      </c>
    </row>
    <row r="786" spans="1:1" hidden="1" x14ac:dyDescent="0.25">
      <c r="A786" t="s">
        <v>505</v>
      </c>
    </row>
    <row r="787" spans="1:1" hidden="1" x14ac:dyDescent="0.25">
      <c r="A787" t="s">
        <v>457</v>
      </c>
    </row>
    <row r="788" spans="1:1" hidden="1" x14ac:dyDescent="0.25">
      <c r="A788" t="s">
        <v>458</v>
      </c>
    </row>
    <row r="789" spans="1:1" hidden="1" x14ac:dyDescent="0.25">
      <c r="A789" t="s">
        <v>459</v>
      </c>
    </row>
    <row r="790" spans="1:1" hidden="1" x14ac:dyDescent="0.25">
      <c r="A790" t="s">
        <v>460</v>
      </c>
    </row>
    <row r="791" spans="1:1" hidden="1" x14ac:dyDescent="0.25">
      <c r="A791" t="s">
        <v>461</v>
      </c>
    </row>
    <row r="792" spans="1:1" hidden="1" x14ac:dyDescent="0.25">
      <c r="A792" t="s">
        <v>462</v>
      </c>
    </row>
    <row r="793" spans="1:1" hidden="1" x14ac:dyDescent="0.25">
      <c r="A793" t="s">
        <v>500</v>
      </c>
    </row>
    <row r="794" spans="1:1" hidden="1" x14ac:dyDescent="0.25">
      <c r="A794" t="s">
        <v>463</v>
      </c>
    </row>
    <row r="795" spans="1:1" hidden="1" x14ac:dyDescent="0.25">
      <c r="A795" t="s">
        <v>464</v>
      </c>
    </row>
    <row r="796" spans="1:1" hidden="1" x14ac:dyDescent="0.25">
      <c r="A796" t="s">
        <v>465</v>
      </c>
    </row>
    <row r="797" spans="1:1" hidden="1" x14ac:dyDescent="0.25">
      <c r="A797" t="s">
        <v>466</v>
      </c>
    </row>
    <row r="798" spans="1:1" hidden="1" x14ac:dyDescent="0.25">
      <c r="A798" t="s">
        <v>503</v>
      </c>
    </row>
    <row r="799" spans="1:1" hidden="1" x14ac:dyDescent="0.25">
      <c r="A799" t="s">
        <v>467</v>
      </c>
    </row>
    <row r="800" spans="1:1" hidden="1" x14ac:dyDescent="0.25">
      <c r="A800" t="s">
        <v>468</v>
      </c>
    </row>
    <row r="801" spans="1:1" hidden="1" x14ac:dyDescent="0.25">
      <c r="A801" t="s">
        <v>469</v>
      </c>
    </row>
    <row r="802" spans="1:1" hidden="1" x14ac:dyDescent="0.25">
      <c r="A802" t="s">
        <v>470</v>
      </c>
    </row>
    <row r="803" spans="1:1" hidden="1" x14ac:dyDescent="0.25">
      <c r="A803" t="s">
        <v>471</v>
      </c>
    </row>
    <row r="804" spans="1:1" hidden="1" x14ac:dyDescent="0.25">
      <c r="A804" t="s">
        <v>472</v>
      </c>
    </row>
    <row r="805" spans="1:1" hidden="1" x14ac:dyDescent="0.25">
      <c r="A805" t="s">
        <v>473</v>
      </c>
    </row>
    <row r="806" spans="1:1" hidden="1" x14ac:dyDescent="0.25">
      <c r="A806" t="s">
        <v>277</v>
      </c>
    </row>
    <row r="807" spans="1:1" hidden="1" x14ac:dyDescent="0.25">
      <c r="A807" t="s">
        <v>474</v>
      </c>
    </row>
    <row r="808" spans="1:1" hidden="1" x14ac:dyDescent="0.25">
      <c r="A808" t="s">
        <v>475</v>
      </c>
    </row>
    <row r="809" spans="1:1" hidden="1" x14ac:dyDescent="0.25">
      <c r="A809" t="s">
        <v>280</v>
      </c>
    </row>
    <row r="810" spans="1:1" hidden="1" x14ac:dyDescent="0.25">
      <c r="A810" t="s">
        <v>283</v>
      </c>
    </row>
    <row r="811" spans="1:1" hidden="1" x14ac:dyDescent="0.25">
      <c r="A811" t="s">
        <v>478</v>
      </c>
    </row>
    <row r="812" spans="1:1" hidden="1" x14ac:dyDescent="0.25">
      <c r="A812" t="s">
        <v>286</v>
      </c>
    </row>
    <row r="813" spans="1:1" hidden="1" x14ac:dyDescent="0.25">
      <c r="A813" t="s">
        <v>480</v>
      </c>
    </row>
    <row r="814" spans="1:1" hidden="1" x14ac:dyDescent="0.25">
      <c r="A814" t="s">
        <v>481</v>
      </c>
    </row>
    <row r="815" spans="1:1" hidden="1" x14ac:dyDescent="0.25">
      <c r="A815" t="s">
        <v>482</v>
      </c>
    </row>
    <row r="816" spans="1:1" hidden="1" x14ac:dyDescent="0.25">
      <c r="A816" t="s">
        <v>502</v>
      </c>
    </row>
    <row r="817" spans="1:2" hidden="1" x14ac:dyDescent="0.25">
      <c r="A817" t="s">
        <v>501</v>
      </c>
    </row>
    <row r="818" spans="1:2" hidden="1" x14ac:dyDescent="0.25">
      <c r="A818" t="s">
        <v>483</v>
      </c>
    </row>
    <row r="819" spans="1:2" hidden="1" x14ac:dyDescent="0.25">
      <c r="A819" t="s">
        <v>484</v>
      </c>
    </row>
    <row r="820" spans="1:2" hidden="1" x14ac:dyDescent="0.25">
      <c r="A820" t="s">
        <v>485</v>
      </c>
    </row>
    <row r="821" spans="1:2" hidden="1" x14ac:dyDescent="0.25">
      <c r="A821" t="s">
        <v>486</v>
      </c>
    </row>
    <row r="822" spans="1:2" hidden="1" x14ac:dyDescent="0.25">
      <c r="A822" t="s">
        <v>487</v>
      </c>
    </row>
    <row r="823" spans="1:2" hidden="1" x14ac:dyDescent="0.25"/>
    <row r="824" spans="1:2" hidden="1" x14ac:dyDescent="0.25">
      <c r="A824" s="6" t="s">
        <v>680</v>
      </c>
    </row>
    <row r="825" spans="1:2" hidden="1" x14ac:dyDescent="0.25">
      <c r="A825" t="s">
        <v>678</v>
      </c>
      <c r="B825" t="s">
        <v>679</v>
      </c>
    </row>
    <row r="826" spans="1:2" hidden="1" x14ac:dyDescent="0.25">
      <c r="A826">
        <v>0</v>
      </c>
      <c r="B826" t="s">
        <v>571</v>
      </c>
    </row>
    <row r="827" spans="1:2" hidden="1" x14ac:dyDescent="0.25">
      <c r="A827">
        <v>1</v>
      </c>
      <c r="B827" t="s">
        <v>603</v>
      </c>
    </row>
    <row r="828" spans="1:2" hidden="1" x14ac:dyDescent="0.25">
      <c r="A828">
        <v>2</v>
      </c>
      <c r="B828" t="s">
        <v>569</v>
      </c>
    </row>
    <row r="829" spans="1:2" hidden="1" x14ac:dyDescent="0.25">
      <c r="A829">
        <v>3</v>
      </c>
      <c r="B829" t="s">
        <v>567</v>
      </c>
    </row>
    <row r="830" spans="1:2" hidden="1" x14ac:dyDescent="0.25">
      <c r="A830">
        <v>4</v>
      </c>
      <c r="B830" t="s">
        <v>565</v>
      </c>
    </row>
    <row r="831" spans="1:2" hidden="1" x14ac:dyDescent="0.25">
      <c r="A831">
        <v>5</v>
      </c>
      <c r="B831" t="s">
        <v>563</v>
      </c>
    </row>
    <row r="832" spans="1:2" hidden="1" x14ac:dyDescent="0.25">
      <c r="A832">
        <v>6</v>
      </c>
      <c r="B832" t="s">
        <v>561</v>
      </c>
    </row>
    <row r="833" spans="1:2" hidden="1" x14ac:dyDescent="0.25">
      <c r="A833">
        <v>7</v>
      </c>
      <c r="B833" t="s">
        <v>559</v>
      </c>
    </row>
    <row r="834" spans="1:2" hidden="1" x14ac:dyDescent="0.25">
      <c r="A834">
        <v>8</v>
      </c>
      <c r="B834" t="s">
        <v>557</v>
      </c>
    </row>
    <row r="835" spans="1:2" hidden="1" x14ac:dyDescent="0.25">
      <c r="A835">
        <v>9</v>
      </c>
      <c r="B835" t="s">
        <v>555</v>
      </c>
    </row>
    <row r="836" spans="1:2" hidden="1" x14ac:dyDescent="0.25">
      <c r="A836">
        <v>10</v>
      </c>
      <c r="B836" t="s">
        <v>553</v>
      </c>
    </row>
    <row r="837" spans="1:2" hidden="1" x14ac:dyDescent="0.25"/>
    <row r="838" spans="1:2" hidden="1" x14ac:dyDescent="0.25">
      <c r="A838" s="6" t="s">
        <v>681</v>
      </c>
    </row>
    <row r="839" spans="1:2" hidden="1" x14ac:dyDescent="0.25">
      <c r="A839" t="s">
        <v>678</v>
      </c>
      <c r="B839" t="s">
        <v>679</v>
      </c>
    </row>
    <row r="840" spans="1:2" hidden="1" x14ac:dyDescent="0.25">
      <c r="A840">
        <v>0</v>
      </c>
      <c r="B840" t="s">
        <v>599</v>
      </c>
    </row>
    <row r="841" spans="1:2" hidden="1" x14ac:dyDescent="0.25">
      <c r="A841">
        <v>1</v>
      </c>
      <c r="B841" t="s">
        <v>597</v>
      </c>
    </row>
    <row r="842" spans="1:2" hidden="1" x14ac:dyDescent="0.25">
      <c r="A842">
        <v>2</v>
      </c>
      <c r="B842" t="s">
        <v>593</v>
      </c>
    </row>
    <row r="843" spans="1:2" hidden="1" x14ac:dyDescent="0.25">
      <c r="A843">
        <v>3</v>
      </c>
      <c r="B843" t="s">
        <v>591</v>
      </c>
    </row>
    <row r="844" spans="1:2" hidden="1" x14ac:dyDescent="0.25">
      <c r="A844">
        <v>4</v>
      </c>
      <c r="B844" t="s">
        <v>587</v>
      </c>
    </row>
    <row r="845" spans="1:2" hidden="1" x14ac:dyDescent="0.25">
      <c r="A845">
        <v>5</v>
      </c>
      <c r="B845" t="s">
        <v>585</v>
      </c>
    </row>
    <row r="846" spans="1:2" hidden="1" x14ac:dyDescent="0.25">
      <c r="A846">
        <v>6</v>
      </c>
      <c r="B846" t="s">
        <v>583</v>
      </c>
    </row>
    <row r="847" spans="1:2" hidden="1" x14ac:dyDescent="0.25">
      <c r="A847">
        <v>7</v>
      </c>
      <c r="B847" t="s">
        <v>579</v>
      </c>
    </row>
    <row r="848" spans="1:2" hidden="1" x14ac:dyDescent="0.25">
      <c r="A848">
        <v>8</v>
      </c>
      <c r="B848" t="s">
        <v>577</v>
      </c>
    </row>
    <row r="849" spans="1:11" hidden="1" x14ac:dyDescent="0.25">
      <c r="A849">
        <v>9</v>
      </c>
      <c r="B849" t="s">
        <v>575</v>
      </c>
    </row>
    <row r="850" spans="1:11" hidden="1" x14ac:dyDescent="0.25">
      <c r="A850">
        <v>10</v>
      </c>
      <c r="B850" t="s">
        <v>573</v>
      </c>
    </row>
    <row r="851" spans="1:11" hidden="1" x14ac:dyDescent="0.25"/>
    <row r="852" spans="1:11" hidden="1" x14ac:dyDescent="0.25">
      <c r="A852">
        <f t="shared" ref="A852:A915" si="0" xml:space="preserve"> IF(OR(LEFT(B12,1)= "T",LEFT(B12,1)= "G"),4,0)</f>
        <v>0</v>
      </c>
      <c r="B852" t="e">
        <f t="shared" ref="B852:B915" si="1">MID(B12,2,1)*2</f>
        <v>#VALUE!</v>
      </c>
      <c r="C852" t="e">
        <f t="shared" ref="C852:C915" si="2">MID(B12,3,1)*7</f>
        <v>#VALUE!</v>
      </c>
      <c r="D852" t="e">
        <f t="shared" ref="D852:D915" si="3">MID(B12,4,1)*6</f>
        <v>#VALUE!</v>
      </c>
      <c r="E852" t="e">
        <f t="shared" ref="E852:E915" si="4">MID(B12,5,1)*5</f>
        <v>#VALUE!</v>
      </c>
      <c r="F852" t="e">
        <f t="shared" ref="F852:F915" si="5">MID(B12,6,1)*4</f>
        <v>#VALUE!</v>
      </c>
      <c r="G852" t="e">
        <f t="shared" ref="G852:G915" si="6">MID(B12,7,1)*3</f>
        <v>#VALUE!</v>
      </c>
      <c r="H852" t="e">
        <f t="shared" ref="H852:H915" si="7">MID(B12,8,1)*2</f>
        <v>#VALUE!</v>
      </c>
      <c r="I852" t="e">
        <f t="shared" ref="I852:I915" si="8">IF(OR(LEFT(B12,1)="T",LEFT(B12,1)="G"),(SUM(B852:H852))+4,SUM(B852:H852))</f>
        <v>#VALUE!</v>
      </c>
      <c r="J852" t="e">
        <f>MOD(I852,11)</f>
        <v>#VALUE!</v>
      </c>
      <c r="K852" t="e">
        <f t="shared" ref="K852:K915" si="9" xml:space="preserve"> IF(OR(LEFT(B12,1)= "S",LEFT(B12,1)= "T"),VLOOKUP(J852,$A$826:$B$836,2,FALSE), VLOOKUP(J852,$A$840:$B$850,2,FALSE))</f>
        <v>#VALUE!</v>
      </c>
    </row>
    <row r="853" spans="1:11" hidden="1" x14ac:dyDescent="0.25">
      <c r="A853">
        <f t="shared" si="0"/>
        <v>0</v>
      </c>
      <c r="B853" t="e">
        <f t="shared" si="1"/>
        <v>#VALUE!</v>
      </c>
      <c r="C853" t="e">
        <f t="shared" si="2"/>
        <v>#VALUE!</v>
      </c>
      <c r="D853" t="e">
        <f t="shared" si="3"/>
        <v>#VALUE!</v>
      </c>
      <c r="E853" t="e">
        <f t="shared" si="4"/>
        <v>#VALUE!</v>
      </c>
      <c r="F853" t="e">
        <f t="shared" si="5"/>
        <v>#VALUE!</v>
      </c>
      <c r="G853" t="e">
        <f t="shared" si="6"/>
        <v>#VALUE!</v>
      </c>
      <c r="H853" t="e">
        <f t="shared" si="7"/>
        <v>#VALUE!</v>
      </c>
      <c r="I853" t="e">
        <f t="shared" si="8"/>
        <v>#VALUE!</v>
      </c>
      <c r="J853" t="e">
        <f t="shared" ref="J853:J916" si="10">MOD(I853,11)</f>
        <v>#VALUE!</v>
      </c>
      <c r="K853" t="e">
        <f t="shared" si="9"/>
        <v>#VALUE!</v>
      </c>
    </row>
    <row r="854" spans="1:11" hidden="1" x14ac:dyDescent="0.25">
      <c r="A854">
        <f t="shared" si="0"/>
        <v>0</v>
      </c>
      <c r="B854" t="e">
        <f t="shared" si="1"/>
        <v>#VALUE!</v>
      </c>
      <c r="C854" t="e">
        <f t="shared" si="2"/>
        <v>#VALUE!</v>
      </c>
      <c r="D854" t="e">
        <f t="shared" si="3"/>
        <v>#VALUE!</v>
      </c>
      <c r="E854" t="e">
        <f t="shared" si="4"/>
        <v>#VALUE!</v>
      </c>
      <c r="F854" t="e">
        <f t="shared" si="5"/>
        <v>#VALUE!</v>
      </c>
      <c r="G854" t="e">
        <f t="shared" si="6"/>
        <v>#VALUE!</v>
      </c>
      <c r="H854" t="e">
        <f t="shared" si="7"/>
        <v>#VALUE!</v>
      </c>
      <c r="I854" t="e">
        <f t="shared" si="8"/>
        <v>#VALUE!</v>
      </c>
      <c r="J854" t="e">
        <f t="shared" si="10"/>
        <v>#VALUE!</v>
      </c>
      <c r="K854" t="e">
        <f t="shared" si="9"/>
        <v>#VALUE!</v>
      </c>
    </row>
    <row r="855" spans="1:11" hidden="1" x14ac:dyDescent="0.25">
      <c r="A855">
        <f t="shared" si="0"/>
        <v>0</v>
      </c>
      <c r="B855" t="e">
        <f t="shared" si="1"/>
        <v>#VALUE!</v>
      </c>
      <c r="C855" t="e">
        <f t="shared" si="2"/>
        <v>#VALUE!</v>
      </c>
      <c r="D855" t="e">
        <f t="shared" si="3"/>
        <v>#VALUE!</v>
      </c>
      <c r="E855" t="e">
        <f t="shared" si="4"/>
        <v>#VALUE!</v>
      </c>
      <c r="F855" t="e">
        <f t="shared" si="5"/>
        <v>#VALUE!</v>
      </c>
      <c r="G855" t="e">
        <f t="shared" si="6"/>
        <v>#VALUE!</v>
      </c>
      <c r="H855" t="e">
        <f t="shared" si="7"/>
        <v>#VALUE!</v>
      </c>
      <c r="I855" t="e">
        <f t="shared" si="8"/>
        <v>#VALUE!</v>
      </c>
      <c r="J855" t="e">
        <f t="shared" si="10"/>
        <v>#VALUE!</v>
      </c>
      <c r="K855" t="e">
        <f t="shared" si="9"/>
        <v>#VALUE!</v>
      </c>
    </row>
    <row r="856" spans="1:11" hidden="1" x14ac:dyDescent="0.25">
      <c r="A856">
        <f t="shared" si="0"/>
        <v>0</v>
      </c>
      <c r="B856" t="e">
        <f t="shared" si="1"/>
        <v>#VALUE!</v>
      </c>
      <c r="C856" t="e">
        <f t="shared" si="2"/>
        <v>#VALUE!</v>
      </c>
      <c r="D856" t="e">
        <f t="shared" si="3"/>
        <v>#VALUE!</v>
      </c>
      <c r="E856" t="e">
        <f t="shared" si="4"/>
        <v>#VALUE!</v>
      </c>
      <c r="F856" t="e">
        <f t="shared" si="5"/>
        <v>#VALUE!</v>
      </c>
      <c r="G856" t="e">
        <f t="shared" si="6"/>
        <v>#VALUE!</v>
      </c>
      <c r="H856" t="e">
        <f t="shared" si="7"/>
        <v>#VALUE!</v>
      </c>
      <c r="I856" t="e">
        <f t="shared" si="8"/>
        <v>#VALUE!</v>
      </c>
      <c r="J856" t="e">
        <f t="shared" si="10"/>
        <v>#VALUE!</v>
      </c>
      <c r="K856" t="e">
        <f t="shared" si="9"/>
        <v>#VALUE!</v>
      </c>
    </row>
    <row r="857" spans="1:11" hidden="1" x14ac:dyDescent="0.25">
      <c r="A857">
        <f t="shared" si="0"/>
        <v>0</v>
      </c>
      <c r="B857" t="e">
        <f t="shared" si="1"/>
        <v>#VALUE!</v>
      </c>
      <c r="C857" t="e">
        <f t="shared" si="2"/>
        <v>#VALUE!</v>
      </c>
      <c r="D857" t="e">
        <f t="shared" si="3"/>
        <v>#VALUE!</v>
      </c>
      <c r="E857" t="e">
        <f t="shared" si="4"/>
        <v>#VALUE!</v>
      </c>
      <c r="F857" t="e">
        <f t="shared" si="5"/>
        <v>#VALUE!</v>
      </c>
      <c r="G857" t="e">
        <f t="shared" si="6"/>
        <v>#VALUE!</v>
      </c>
      <c r="H857" t="e">
        <f t="shared" si="7"/>
        <v>#VALUE!</v>
      </c>
      <c r="I857" t="e">
        <f t="shared" si="8"/>
        <v>#VALUE!</v>
      </c>
      <c r="J857" t="e">
        <f t="shared" si="10"/>
        <v>#VALUE!</v>
      </c>
      <c r="K857" t="e">
        <f t="shared" si="9"/>
        <v>#VALUE!</v>
      </c>
    </row>
    <row r="858" spans="1:11" hidden="1" x14ac:dyDescent="0.25">
      <c r="A858">
        <f t="shared" si="0"/>
        <v>0</v>
      </c>
      <c r="B858" t="e">
        <f t="shared" si="1"/>
        <v>#VALUE!</v>
      </c>
      <c r="C858" t="e">
        <f t="shared" si="2"/>
        <v>#VALUE!</v>
      </c>
      <c r="D858" t="e">
        <f t="shared" si="3"/>
        <v>#VALUE!</v>
      </c>
      <c r="E858" t="e">
        <f t="shared" si="4"/>
        <v>#VALUE!</v>
      </c>
      <c r="F858" t="e">
        <f t="shared" si="5"/>
        <v>#VALUE!</v>
      </c>
      <c r="G858" t="e">
        <f t="shared" si="6"/>
        <v>#VALUE!</v>
      </c>
      <c r="H858" t="e">
        <f t="shared" si="7"/>
        <v>#VALUE!</v>
      </c>
      <c r="I858" t="e">
        <f t="shared" si="8"/>
        <v>#VALUE!</v>
      </c>
      <c r="J858" t="e">
        <f t="shared" si="10"/>
        <v>#VALUE!</v>
      </c>
      <c r="K858" t="e">
        <f t="shared" si="9"/>
        <v>#VALUE!</v>
      </c>
    </row>
    <row r="859" spans="1:11" hidden="1" x14ac:dyDescent="0.25">
      <c r="A859">
        <f t="shared" si="0"/>
        <v>0</v>
      </c>
      <c r="B859" t="e">
        <f t="shared" si="1"/>
        <v>#VALUE!</v>
      </c>
      <c r="C859" t="e">
        <f t="shared" si="2"/>
        <v>#VALUE!</v>
      </c>
      <c r="D859" t="e">
        <f t="shared" si="3"/>
        <v>#VALUE!</v>
      </c>
      <c r="E859" t="e">
        <f t="shared" si="4"/>
        <v>#VALUE!</v>
      </c>
      <c r="F859" t="e">
        <f t="shared" si="5"/>
        <v>#VALUE!</v>
      </c>
      <c r="G859" t="e">
        <f t="shared" si="6"/>
        <v>#VALUE!</v>
      </c>
      <c r="H859" t="e">
        <f t="shared" si="7"/>
        <v>#VALUE!</v>
      </c>
      <c r="I859" t="e">
        <f t="shared" si="8"/>
        <v>#VALUE!</v>
      </c>
      <c r="J859" t="e">
        <f t="shared" si="10"/>
        <v>#VALUE!</v>
      </c>
      <c r="K859" t="e">
        <f t="shared" si="9"/>
        <v>#VALUE!</v>
      </c>
    </row>
    <row r="860" spans="1:11" hidden="1" x14ac:dyDescent="0.25">
      <c r="A860">
        <f t="shared" si="0"/>
        <v>0</v>
      </c>
      <c r="B860" t="e">
        <f t="shared" si="1"/>
        <v>#VALUE!</v>
      </c>
      <c r="C860" t="e">
        <f t="shared" si="2"/>
        <v>#VALUE!</v>
      </c>
      <c r="D860" t="e">
        <f t="shared" si="3"/>
        <v>#VALUE!</v>
      </c>
      <c r="E860" t="e">
        <f t="shared" si="4"/>
        <v>#VALUE!</v>
      </c>
      <c r="F860" t="e">
        <f t="shared" si="5"/>
        <v>#VALUE!</v>
      </c>
      <c r="G860" t="e">
        <f t="shared" si="6"/>
        <v>#VALUE!</v>
      </c>
      <c r="H860" t="e">
        <f t="shared" si="7"/>
        <v>#VALUE!</v>
      </c>
      <c r="I860" t="e">
        <f t="shared" si="8"/>
        <v>#VALUE!</v>
      </c>
      <c r="J860" t="e">
        <f t="shared" si="10"/>
        <v>#VALUE!</v>
      </c>
      <c r="K860" t="e">
        <f t="shared" si="9"/>
        <v>#VALUE!</v>
      </c>
    </row>
    <row r="861" spans="1:11" hidden="1" x14ac:dyDescent="0.25">
      <c r="A861">
        <f t="shared" si="0"/>
        <v>0</v>
      </c>
      <c r="B861" t="e">
        <f t="shared" si="1"/>
        <v>#VALUE!</v>
      </c>
      <c r="C861" t="e">
        <f t="shared" si="2"/>
        <v>#VALUE!</v>
      </c>
      <c r="D861" t="e">
        <f t="shared" si="3"/>
        <v>#VALUE!</v>
      </c>
      <c r="E861" t="e">
        <f t="shared" si="4"/>
        <v>#VALUE!</v>
      </c>
      <c r="F861" t="e">
        <f t="shared" si="5"/>
        <v>#VALUE!</v>
      </c>
      <c r="G861" t="e">
        <f t="shared" si="6"/>
        <v>#VALUE!</v>
      </c>
      <c r="H861" t="e">
        <f t="shared" si="7"/>
        <v>#VALUE!</v>
      </c>
      <c r="I861" t="e">
        <f t="shared" si="8"/>
        <v>#VALUE!</v>
      </c>
      <c r="J861" t="e">
        <f t="shared" si="10"/>
        <v>#VALUE!</v>
      </c>
      <c r="K861" t="e">
        <f t="shared" si="9"/>
        <v>#VALUE!</v>
      </c>
    </row>
    <row r="862" spans="1:11" hidden="1" x14ac:dyDescent="0.25">
      <c r="A862">
        <f t="shared" si="0"/>
        <v>0</v>
      </c>
      <c r="B862" t="e">
        <f t="shared" si="1"/>
        <v>#VALUE!</v>
      </c>
      <c r="C862" t="e">
        <f t="shared" si="2"/>
        <v>#VALUE!</v>
      </c>
      <c r="D862" t="e">
        <f t="shared" si="3"/>
        <v>#VALUE!</v>
      </c>
      <c r="E862" t="e">
        <f t="shared" si="4"/>
        <v>#VALUE!</v>
      </c>
      <c r="F862" t="e">
        <f t="shared" si="5"/>
        <v>#VALUE!</v>
      </c>
      <c r="G862" t="e">
        <f t="shared" si="6"/>
        <v>#VALUE!</v>
      </c>
      <c r="H862" t="e">
        <f t="shared" si="7"/>
        <v>#VALUE!</v>
      </c>
      <c r="I862" t="e">
        <f t="shared" si="8"/>
        <v>#VALUE!</v>
      </c>
      <c r="J862" t="e">
        <f t="shared" si="10"/>
        <v>#VALUE!</v>
      </c>
      <c r="K862" t="e">
        <f t="shared" si="9"/>
        <v>#VALUE!</v>
      </c>
    </row>
    <row r="863" spans="1:11" hidden="1" x14ac:dyDescent="0.25">
      <c r="A863">
        <f t="shared" si="0"/>
        <v>0</v>
      </c>
      <c r="B863" t="e">
        <f t="shared" si="1"/>
        <v>#VALUE!</v>
      </c>
      <c r="C863" t="e">
        <f t="shared" si="2"/>
        <v>#VALUE!</v>
      </c>
      <c r="D863" t="e">
        <f t="shared" si="3"/>
        <v>#VALUE!</v>
      </c>
      <c r="E863" t="e">
        <f t="shared" si="4"/>
        <v>#VALUE!</v>
      </c>
      <c r="F863" t="e">
        <f t="shared" si="5"/>
        <v>#VALUE!</v>
      </c>
      <c r="G863" t="e">
        <f t="shared" si="6"/>
        <v>#VALUE!</v>
      </c>
      <c r="H863" t="e">
        <f t="shared" si="7"/>
        <v>#VALUE!</v>
      </c>
      <c r="I863" t="e">
        <f t="shared" si="8"/>
        <v>#VALUE!</v>
      </c>
      <c r="J863" t="e">
        <f t="shared" si="10"/>
        <v>#VALUE!</v>
      </c>
      <c r="K863" t="e">
        <f t="shared" si="9"/>
        <v>#VALUE!</v>
      </c>
    </row>
    <row r="864" spans="1:11" hidden="1" x14ac:dyDescent="0.25">
      <c r="A864">
        <f t="shared" si="0"/>
        <v>0</v>
      </c>
      <c r="B864" t="e">
        <f t="shared" si="1"/>
        <v>#VALUE!</v>
      </c>
      <c r="C864" t="e">
        <f t="shared" si="2"/>
        <v>#VALUE!</v>
      </c>
      <c r="D864" t="e">
        <f t="shared" si="3"/>
        <v>#VALUE!</v>
      </c>
      <c r="E864" t="e">
        <f t="shared" si="4"/>
        <v>#VALUE!</v>
      </c>
      <c r="F864" t="e">
        <f t="shared" si="5"/>
        <v>#VALUE!</v>
      </c>
      <c r="G864" t="e">
        <f t="shared" si="6"/>
        <v>#VALUE!</v>
      </c>
      <c r="H864" t="e">
        <f t="shared" si="7"/>
        <v>#VALUE!</v>
      </c>
      <c r="I864" t="e">
        <f t="shared" si="8"/>
        <v>#VALUE!</v>
      </c>
      <c r="J864" t="e">
        <f t="shared" si="10"/>
        <v>#VALUE!</v>
      </c>
      <c r="K864" t="e">
        <f t="shared" si="9"/>
        <v>#VALUE!</v>
      </c>
    </row>
    <row r="865" spans="1:11" hidden="1" x14ac:dyDescent="0.25">
      <c r="A865">
        <f t="shared" si="0"/>
        <v>0</v>
      </c>
      <c r="B865" t="e">
        <f t="shared" si="1"/>
        <v>#VALUE!</v>
      </c>
      <c r="C865" t="e">
        <f t="shared" si="2"/>
        <v>#VALUE!</v>
      </c>
      <c r="D865" t="e">
        <f t="shared" si="3"/>
        <v>#VALUE!</v>
      </c>
      <c r="E865" t="e">
        <f t="shared" si="4"/>
        <v>#VALUE!</v>
      </c>
      <c r="F865" t="e">
        <f t="shared" si="5"/>
        <v>#VALUE!</v>
      </c>
      <c r="G865" t="e">
        <f t="shared" si="6"/>
        <v>#VALUE!</v>
      </c>
      <c r="H865" t="e">
        <f t="shared" si="7"/>
        <v>#VALUE!</v>
      </c>
      <c r="I865" t="e">
        <f t="shared" si="8"/>
        <v>#VALUE!</v>
      </c>
      <c r="J865" t="e">
        <f t="shared" si="10"/>
        <v>#VALUE!</v>
      </c>
      <c r="K865" t="e">
        <f t="shared" si="9"/>
        <v>#VALUE!</v>
      </c>
    </row>
    <row r="866" spans="1:11" hidden="1" x14ac:dyDescent="0.25">
      <c r="A866">
        <f t="shared" si="0"/>
        <v>0</v>
      </c>
      <c r="B866" t="e">
        <f t="shared" si="1"/>
        <v>#VALUE!</v>
      </c>
      <c r="C866" t="e">
        <f t="shared" si="2"/>
        <v>#VALUE!</v>
      </c>
      <c r="D866" t="e">
        <f t="shared" si="3"/>
        <v>#VALUE!</v>
      </c>
      <c r="E866" t="e">
        <f t="shared" si="4"/>
        <v>#VALUE!</v>
      </c>
      <c r="F866" t="e">
        <f t="shared" si="5"/>
        <v>#VALUE!</v>
      </c>
      <c r="G866" t="e">
        <f t="shared" si="6"/>
        <v>#VALUE!</v>
      </c>
      <c r="H866" t="e">
        <f t="shared" si="7"/>
        <v>#VALUE!</v>
      </c>
      <c r="I866" t="e">
        <f t="shared" si="8"/>
        <v>#VALUE!</v>
      </c>
      <c r="J866" t="e">
        <f t="shared" si="10"/>
        <v>#VALUE!</v>
      </c>
      <c r="K866" t="e">
        <f t="shared" si="9"/>
        <v>#VALUE!</v>
      </c>
    </row>
    <row r="867" spans="1:11" hidden="1" x14ac:dyDescent="0.25">
      <c r="A867">
        <f t="shared" si="0"/>
        <v>0</v>
      </c>
      <c r="B867" t="e">
        <f t="shared" si="1"/>
        <v>#VALUE!</v>
      </c>
      <c r="C867" t="e">
        <f t="shared" si="2"/>
        <v>#VALUE!</v>
      </c>
      <c r="D867" t="e">
        <f t="shared" si="3"/>
        <v>#VALUE!</v>
      </c>
      <c r="E867" t="e">
        <f t="shared" si="4"/>
        <v>#VALUE!</v>
      </c>
      <c r="F867" t="e">
        <f t="shared" si="5"/>
        <v>#VALUE!</v>
      </c>
      <c r="G867" t="e">
        <f t="shared" si="6"/>
        <v>#VALUE!</v>
      </c>
      <c r="H867" t="e">
        <f t="shared" si="7"/>
        <v>#VALUE!</v>
      </c>
      <c r="I867" t="e">
        <f t="shared" si="8"/>
        <v>#VALUE!</v>
      </c>
      <c r="J867" t="e">
        <f t="shared" si="10"/>
        <v>#VALUE!</v>
      </c>
      <c r="K867" t="e">
        <f t="shared" si="9"/>
        <v>#VALUE!</v>
      </c>
    </row>
    <row r="868" spans="1:11" hidden="1" x14ac:dyDescent="0.25">
      <c r="A868">
        <f t="shared" si="0"/>
        <v>0</v>
      </c>
      <c r="B868" t="e">
        <f t="shared" si="1"/>
        <v>#VALUE!</v>
      </c>
      <c r="C868" t="e">
        <f t="shared" si="2"/>
        <v>#VALUE!</v>
      </c>
      <c r="D868" t="e">
        <f t="shared" si="3"/>
        <v>#VALUE!</v>
      </c>
      <c r="E868" t="e">
        <f t="shared" si="4"/>
        <v>#VALUE!</v>
      </c>
      <c r="F868" t="e">
        <f t="shared" si="5"/>
        <v>#VALUE!</v>
      </c>
      <c r="G868" t="e">
        <f t="shared" si="6"/>
        <v>#VALUE!</v>
      </c>
      <c r="H868" t="e">
        <f t="shared" si="7"/>
        <v>#VALUE!</v>
      </c>
      <c r="I868" t="e">
        <f t="shared" si="8"/>
        <v>#VALUE!</v>
      </c>
      <c r="J868" t="e">
        <f t="shared" si="10"/>
        <v>#VALUE!</v>
      </c>
      <c r="K868" t="e">
        <f t="shared" si="9"/>
        <v>#VALUE!</v>
      </c>
    </row>
    <row r="869" spans="1:11" hidden="1" x14ac:dyDescent="0.25">
      <c r="A869">
        <f t="shared" si="0"/>
        <v>0</v>
      </c>
      <c r="B869" t="e">
        <f t="shared" si="1"/>
        <v>#VALUE!</v>
      </c>
      <c r="C869" t="e">
        <f t="shared" si="2"/>
        <v>#VALUE!</v>
      </c>
      <c r="D869" t="e">
        <f t="shared" si="3"/>
        <v>#VALUE!</v>
      </c>
      <c r="E869" t="e">
        <f t="shared" si="4"/>
        <v>#VALUE!</v>
      </c>
      <c r="F869" t="e">
        <f t="shared" si="5"/>
        <v>#VALUE!</v>
      </c>
      <c r="G869" t="e">
        <f t="shared" si="6"/>
        <v>#VALUE!</v>
      </c>
      <c r="H869" t="e">
        <f t="shared" si="7"/>
        <v>#VALUE!</v>
      </c>
      <c r="I869" t="e">
        <f t="shared" si="8"/>
        <v>#VALUE!</v>
      </c>
      <c r="J869" t="e">
        <f t="shared" si="10"/>
        <v>#VALUE!</v>
      </c>
      <c r="K869" t="e">
        <f t="shared" si="9"/>
        <v>#VALUE!</v>
      </c>
    </row>
    <row r="870" spans="1:11" hidden="1" x14ac:dyDescent="0.25">
      <c r="A870">
        <f t="shared" si="0"/>
        <v>0</v>
      </c>
      <c r="B870" t="e">
        <f t="shared" si="1"/>
        <v>#VALUE!</v>
      </c>
      <c r="C870" t="e">
        <f t="shared" si="2"/>
        <v>#VALUE!</v>
      </c>
      <c r="D870" t="e">
        <f t="shared" si="3"/>
        <v>#VALUE!</v>
      </c>
      <c r="E870" t="e">
        <f t="shared" si="4"/>
        <v>#VALUE!</v>
      </c>
      <c r="F870" t="e">
        <f t="shared" si="5"/>
        <v>#VALUE!</v>
      </c>
      <c r="G870" t="e">
        <f t="shared" si="6"/>
        <v>#VALUE!</v>
      </c>
      <c r="H870" t="e">
        <f t="shared" si="7"/>
        <v>#VALUE!</v>
      </c>
      <c r="I870" t="e">
        <f t="shared" si="8"/>
        <v>#VALUE!</v>
      </c>
      <c r="J870" t="e">
        <f t="shared" si="10"/>
        <v>#VALUE!</v>
      </c>
      <c r="K870" t="e">
        <f t="shared" si="9"/>
        <v>#VALUE!</v>
      </c>
    </row>
    <row r="871" spans="1:11" hidden="1" x14ac:dyDescent="0.25">
      <c r="A871">
        <f t="shared" si="0"/>
        <v>0</v>
      </c>
      <c r="B871" t="e">
        <f t="shared" si="1"/>
        <v>#VALUE!</v>
      </c>
      <c r="C871" t="e">
        <f t="shared" si="2"/>
        <v>#VALUE!</v>
      </c>
      <c r="D871" t="e">
        <f t="shared" si="3"/>
        <v>#VALUE!</v>
      </c>
      <c r="E871" t="e">
        <f t="shared" si="4"/>
        <v>#VALUE!</v>
      </c>
      <c r="F871" t="e">
        <f t="shared" si="5"/>
        <v>#VALUE!</v>
      </c>
      <c r="G871" t="e">
        <f t="shared" si="6"/>
        <v>#VALUE!</v>
      </c>
      <c r="H871" t="e">
        <f t="shared" si="7"/>
        <v>#VALUE!</v>
      </c>
      <c r="I871" t="e">
        <f t="shared" si="8"/>
        <v>#VALUE!</v>
      </c>
      <c r="J871" t="e">
        <f t="shared" si="10"/>
        <v>#VALUE!</v>
      </c>
      <c r="K871" t="e">
        <f t="shared" si="9"/>
        <v>#VALUE!</v>
      </c>
    </row>
    <row r="872" spans="1:11" hidden="1" x14ac:dyDescent="0.25">
      <c r="A872">
        <f t="shared" si="0"/>
        <v>0</v>
      </c>
      <c r="B872" t="e">
        <f t="shared" si="1"/>
        <v>#VALUE!</v>
      </c>
      <c r="C872" t="e">
        <f t="shared" si="2"/>
        <v>#VALUE!</v>
      </c>
      <c r="D872" t="e">
        <f t="shared" si="3"/>
        <v>#VALUE!</v>
      </c>
      <c r="E872" t="e">
        <f t="shared" si="4"/>
        <v>#VALUE!</v>
      </c>
      <c r="F872" t="e">
        <f t="shared" si="5"/>
        <v>#VALUE!</v>
      </c>
      <c r="G872" t="e">
        <f t="shared" si="6"/>
        <v>#VALUE!</v>
      </c>
      <c r="H872" t="e">
        <f t="shared" si="7"/>
        <v>#VALUE!</v>
      </c>
      <c r="I872" t="e">
        <f t="shared" si="8"/>
        <v>#VALUE!</v>
      </c>
      <c r="J872" t="e">
        <f t="shared" si="10"/>
        <v>#VALUE!</v>
      </c>
      <c r="K872" t="e">
        <f t="shared" si="9"/>
        <v>#VALUE!</v>
      </c>
    </row>
    <row r="873" spans="1:11" hidden="1" x14ac:dyDescent="0.25">
      <c r="A873">
        <f t="shared" si="0"/>
        <v>0</v>
      </c>
      <c r="B873" t="e">
        <f t="shared" si="1"/>
        <v>#VALUE!</v>
      </c>
      <c r="C873" t="e">
        <f t="shared" si="2"/>
        <v>#VALUE!</v>
      </c>
      <c r="D873" t="e">
        <f t="shared" si="3"/>
        <v>#VALUE!</v>
      </c>
      <c r="E873" t="e">
        <f t="shared" si="4"/>
        <v>#VALUE!</v>
      </c>
      <c r="F873" t="e">
        <f t="shared" si="5"/>
        <v>#VALUE!</v>
      </c>
      <c r="G873" t="e">
        <f t="shared" si="6"/>
        <v>#VALUE!</v>
      </c>
      <c r="H873" t="e">
        <f t="shared" si="7"/>
        <v>#VALUE!</v>
      </c>
      <c r="I873" t="e">
        <f t="shared" si="8"/>
        <v>#VALUE!</v>
      </c>
      <c r="J873" t="e">
        <f t="shared" si="10"/>
        <v>#VALUE!</v>
      </c>
      <c r="K873" t="e">
        <f t="shared" si="9"/>
        <v>#VALUE!</v>
      </c>
    </row>
    <row r="874" spans="1:11" hidden="1" x14ac:dyDescent="0.25">
      <c r="A874">
        <f t="shared" si="0"/>
        <v>0</v>
      </c>
      <c r="B874" t="e">
        <f t="shared" si="1"/>
        <v>#VALUE!</v>
      </c>
      <c r="C874" t="e">
        <f t="shared" si="2"/>
        <v>#VALUE!</v>
      </c>
      <c r="D874" t="e">
        <f t="shared" si="3"/>
        <v>#VALUE!</v>
      </c>
      <c r="E874" t="e">
        <f t="shared" si="4"/>
        <v>#VALUE!</v>
      </c>
      <c r="F874" t="e">
        <f t="shared" si="5"/>
        <v>#VALUE!</v>
      </c>
      <c r="G874" t="e">
        <f t="shared" si="6"/>
        <v>#VALUE!</v>
      </c>
      <c r="H874" t="e">
        <f t="shared" si="7"/>
        <v>#VALUE!</v>
      </c>
      <c r="I874" t="e">
        <f t="shared" si="8"/>
        <v>#VALUE!</v>
      </c>
      <c r="J874" t="e">
        <f t="shared" si="10"/>
        <v>#VALUE!</v>
      </c>
      <c r="K874" t="e">
        <f t="shared" si="9"/>
        <v>#VALUE!</v>
      </c>
    </row>
    <row r="875" spans="1:11" hidden="1" x14ac:dyDescent="0.25">
      <c r="A875">
        <f t="shared" si="0"/>
        <v>0</v>
      </c>
      <c r="B875" t="e">
        <f t="shared" si="1"/>
        <v>#VALUE!</v>
      </c>
      <c r="C875" t="e">
        <f t="shared" si="2"/>
        <v>#VALUE!</v>
      </c>
      <c r="D875" t="e">
        <f t="shared" si="3"/>
        <v>#VALUE!</v>
      </c>
      <c r="E875" t="e">
        <f t="shared" si="4"/>
        <v>#VALUE!</v>
      </c>
      <c r="F875" t="e">
        <f t="shared" si="5"/>
        <v>#VALUE!</v>
      </c>
      <c r="G875" t="e">
        <f t="shared" si="6"/>
        <v>#VALUE!</v>
      </c>
      <c r="H875" t="e">
        <f t="shared" si="7"/>
        <v>#VALUE!</v>
      </c>
      <c r="I875" t="e">
        <f t="shared" si="8"/>
        <v>#VALUE!</v>
      </c>
      <c r="J875" t="e">
        <f t="shared" si="10"/>
        <v>#VALUE!</v>
      </c>
      <c r="K875" t="e">
        <f t="shared" si="9"/>
        <v>#VALUE!</v>
      </c>
    </row>
    <row r="876" spans="1:11" hidden="1" x14ac:dyDescent="0.25">
      <c r="A876">
        <f t="shared" si="0"/>
        <v>0</v>
      </c>
      <c r="B876" t="e">
        <f t="shared" si="1"/>
        <v>#VALUE!</v>
      </c>
      <c r="C876" t="e">
        <f t="shared" si="2"/>
        <v>#VALUE!</v>
      </c>
      <c r="D876" t="e">
        <f t="shared" si="3"/>
        <v>#VALUE!</v>
      </c>
      <c r="E876" t="e">
        <f t="shared" si="4"/>
        <v>#VALUE!</v>
      </c>
      <c r="F876" t="e">
        <f t="shared" si="5"/>
        <v>#VALUE!</v>
      </c>
      <c r="G876" t="e">
        <f t="shared" si="6"/>
        <v>#VALUE!</v>
      </c>
      <c r="H876" t="e">
        <f t="shared" si="7"/>
        <v>#VALUE!</v>
      </c>
      <c r="I876" t="e">
        <f t="shared" si="8"/>
        <v>#VALUE!</v>
      </c>
      <c r="J876" t="e">
        <f t="shared" si="10"/>
        <v>#VALUE!</v>
      </c>
      <c r="K876" t="e">
        <f t="shared" si="9"/>
        <v>#VALUE!</v>
      </c>
    </row>
    <row r="877" spans="1:11" hidden="1" x14ac:dyDescent="0.25">
      <c r="A877">
        <f t="shared" si="0"/>
        <v>0</v>
      </c>
      <c r="B877" t="e">
        <f t="shared" si="1"/>
        <v>#VALUE!</v>
      </c>
      <c r="C877" t="e">
        <f t="shared" si="2"/>
        <v>#VALUE!</v>
      </c>
      <c r="D877" t="e">
        <f t="shared" si="3"/>
        <v>#VALUE!</v>
      </c>
      <c r="E877" t="e">
        <f t="shared" si="4"/>
        <v>#VALUE!</v>
      </c>
      <c r="F877" t="e">
        <f t="shared" si="5"/>
        <v>#VALUE!</v>
      </c>
      <c r="G877" t="e">
        <f t="shared" si="6"/>
        <v>#VALUE!</v>
      </c>
      <c r="H877" t="e">
        <f t="shared" si="7"/>
        <v>#VALUE!</v>
      </c>
      <c r="I877" t="e">
        <f t="shared" si="8"/>
        <v>#VALUE!</v>
      </c>
      <c r="J877" t="e">
        <f t="shared" si="10"/>
        <v>#VALUE!</v>
      </c>
      <c r="K877" t="e">
        <f t="shared" si="9"/>
        <v>#VALUE!</v>
      </c>
    </row>
    <row r="878" spans="1:11" hidden="1" x14ac:dyDescent="0.25">
      <c r="A878">
        <f t="shared" si="0"/>
        <v>0</v>
      </c>
      <c r="B878" t="e">
        <f t="shared" si="1"/>
        <v>#VALUE!</v>
      </c>
      <c r="C878" t="e">
        <f t="shared" si="2"/>
        <v>#VALUE!</v>
      </c>
      <c r="D878" t="e">
        <f t="shared" si="3"/>
        <v>#VALUE!</v>
      </c>
      <c r="E878" t="e">
        <f t="shared" si="4"/>
        <v>#VALUE!</v>
      </c>
      <c r="F878" t="e">
        <f t="shared" si="5"/>
        <v>#VALUE!</v>
      </c>
      <c r="G878" t="e">
        <f t="shared" si="6"/>
        <v>#VALUE!</v>
      </c>
      <c r="H878" t="e">
        <f t="shared" si="7"/>
        <v>#VALUE!</v>
      </c>
      <c r="I878" t="e">
        <f t="shared" si="8"/>
        <v>#VALUE!</v>
      </c>
      <c r="J878" t="e">
        <f t="shared" si="10"/>
        <v>#VALUE!</v>
      </c>
      <c r="K878" t="e">
        <f t="shared" si="9"/>
        <v>#VALUE!</v>
      </c>
    </row>
    <row r="879" spans="1:11" hidden="1" x14ac:dyDescent="0.25">
      <c r="A879">
        <f t="shared" si="0"/>
        <v>0</v>
      </c>
      <c r="B879" t="e">
        <f t="shared" si="1"/>
        <v>#VALUE!</v>
      </c>
      <c r="C879" t="e">
        <f t="shared" si="2"/>
        <v>#VALUE!</v>
      </c>
      <c r="D879" t="e">
        <f t="shared" si="3"/>
        <v>#VALUE!</v>
      </c>
      <c r="E879" t="e">
        <f t="shared" si="4"/>
        <v>#VALUE!</v>
      </c>
      <c r="F879" t="e">
        <f t="shared" si="5"/>
        <v>#VALUE!</v>
      </c>
      <c r="G879" t="e">
        <f t="shared" si="6"/>
        <v>#VALUE!</v>
      </c>
      <c r="H879" t="e">
        <f t="shared" si="7"/>
        <v>#VALUE!</v>
      </c>
      <c r="I879" t="e">
        <f t="shared" si="8"/>
        <v>#VALUE!</v>
      </c>
      <c r="J879" t="e">
        <f t="shared" si="10"/>
        <v>#VALUE!</v>
      </c>
      <c r="K879" t="e">
        <f t="shared" si="9"/>
        <v>#VALUE!</v>
      </c>
    </row>
    <row r="880" spans="1:11" hidden="1" x14ac:dyDescent="0.25">
      <c r="A880">
        <f t="shared" si="0"/>
        <v>0</v>
      </c>
      <c r="B880" t="e">
        <f t="shared" si="1"/>
        <v>#VALUE!</v>
      </c>
      <c r="C880" t="e">
        <f t="shared" si="2"/>
        <v>#VALUE!</v>
      </c>
      <c r="D880" t="e">
        <f t="shared" si="3"/>
        <v>#VALUE!</v>
      </c>
      <c r="E880" t="e">
        <f t="shared" si="4"/>
        <v>#VALUE!</v>
      </c>
      <c r="F880" t="e">
        <f t="shared" si="5"/>
        <v>#VALUE!</v>
      </c>
      <c r="G880" t="e">
        <f t="shared" si="6"/>
        <v>#VALUE!</v>
      </c>
      <c r="H880" t="e">
        <f t="shared" si="7"/>
        <v>#VALUE!</v>
      </c>
      <c r="I880" t="e">
        <f t="shared" si="8"/>
        <v>#VALUE!</v>
      </c>
      <c r="J880" t="e">
        <f t="shared" si="10"/>
        <v>#VALUE!</v>
      </c>
      <c r="K880" t="e">
        <f t="shared" si="9"/>
        <v>#VALUE!</v>
      </c>
    </row>
    <row r="881" spans="1:11" hidden="1" x14ac:dyDescent="0.25">
      <c r="A881">
        <f t="shared" si="0"/>
        <v>0</v>
      </c>
      <c r="B881" t="e">
        <f t="shared" si="1"/>
        <v>#VALUE!</v>
      </c>
      <c r="C881" t="e">
        <f t="shared" si="2"/>
        <v>#VALUE!</v>
      </c>
      <c r="D881" t="e">
        <f t="shared" si="3"/>
        <v>#VALUE!</v>
      </c>
      <c r="E881" t="e">
        <f t="shared" si="4"/>
        <v>#VALUE!</v>
      </c>
      <c r="F881" t="e">
        <f t="shared" si="5"/>
        <v>#VALUE!</v>
      </c>
      <c r="G881" t="e">
        <f t="shared" si="6"/>
        <v>#VALUE!</v>
      </c>
      <c r="H881" t="e">
        <f t="shared" si="7"/>
        <v>#VALUE!</v>
      </c>
      <c r="I881" t="e">
        <f t="shared" si="8"/>
        <v>#VALUE!</v>
      </c>
      <c r="J881" t="e">
        <f t="shared" si="10"/>
        <v>#VALUE!</v>
      </c>
      <c r="K881" t="e">
        <f t="shared" si="9"/>
        <v>#VALUE!</v>
      </c>
    </row>
    <row r="882" spans="1:11" hidden="1" x14ac:dyDescent="0.25">
      <c r="A882">
        <f t="shared" si="0"/>
        <v>0</v>
      </c>
      <c r="B882" t="e">
        <f t="shared" si="1"/>
        <v>#VALUE!</v>
      </c>
      <c r="C882" t="e">
        <f t="shared" si="2"/>
        <v>#VALUE!</v>
      </c>
      <c r="D882" t="e">
        <f t="shared" si="3"/>
        <v>#VALUE!</v>
      </c>
      <c r="E882" t="e">
        <f t="shared" si="4"/>
        <v>#VALUE!</v>
      </c>
      <c r="F882" t="e">
        <f t="shared" si="5"/>
        <v>#VALUE!</v>
      </c>
      <c r="G882" t="e">
        <f t="shared" si="6"/>
        <v>#VALUE!</v>
      </c>
      <c r="H882" t="e">
        <f t="shared" si="7"/>
        <v>#VALUE!</v>
      </c>
      <c r="I882" t="e">
        <f t="shared" si="8"/>
        <v>#VALUE!</v>
      </c>
      <c r="J882" t="e">
        <f t="shared" si="10"/>
        <v>#VALUE!</v>
      </c>
      <c r="K882" t="e">
        <f t="shared" si="9"/>
        <v>#VALUE!</v>
      </c>
    </row>
    <row r="883" spans="1:11" hidden="1" x14ac:dyDescent="0.25">
      <c r="A883">
        <f t="shared" si="0"/>
        <v>0</v>
      </c>
      <c r="B883" t="e">
        <f t="shared" si="1"/>
        <v>#VALUE!</v>
      </c>
      <c r="C883" t="e">
        <f t="shared" si="2"/>
        <v>#VALUE!</v>
      </c>
      <c r="D883" t="e">
        <f t="shared" si="3"/>
        <v>#VALUE!</v>
      </c>
      <c r="E883" t="e">
        <f t="shared" si="4"/>
        <v>#VALUE!</v>
      </c>
      <c r="F883" t="e">
        <f t="shared" si="5"/>
        <v>#VALUE!</v>
      </c>
      <c r="G883" t="e">
        <f t="shared" si="6"/>
        <v>#VALUE!</v>
      </c>
      <c r="H883" t="e">
        <f t="shared" si="7"/>
        <v>#VALUE!</v>
      </c>
      <c r="I883" t="e">
        <f t="shared" si="8"/>
        <v>#VALUE!</v>
      </c>
      <c r="J883" t="e">
        <f t="shared" si="10"/>
        <v>#VALUE!</v>
      </c>
      <c r="K883" t="e">
        <f t="shared" si="9"/>
        <v>#VALUE!</v>
      </c>
    </row>
    <row r="884" spans="1:11" hidden="1" x14ac:dyDescent="0.25">
      <c r="A884">
        <f t="shared" si="0"/>
        <v>0</v>
      </c>
      <c r="B884" t="e">
        <f t="shared" si="1"/>
        <v>#VALUE!</v>
      </c>
      <c r="C884" t="e">
        <f t="shared" si="2"/>
        <v>#VALUE!</v>
      </c>
      <c r="D884" t="e">
        <f t="shared" si="3"/>
        <v>#VALUE!</v>
      </c>
      <c r="E884" t="e">
        <f t="shared" si="4"/>
        <v>#VALUE!</v>
      </c>
      <c r="F884" t="e">
        <f t="shared" si="5"/>
        <v>#VALUE!</v>
      </c>
      <c r="G884" t="e">
        <f t="shared" si="6"/>
        <v>#VALUE!</v>
      </c>
      <c r="H884" t="e">
        <f t="shared" si="7"/>
        <v>#VALUE!</v>
      </c>
      <c r="I884" t="e">
        <f t="shared" si="8"/>
        <v>#VALUE!</v>
      </c>
      <c r="J884" t="e">
        <f t="shared" si="10"/>
        <v>#VALUE!</v>
      </c>
      <c r="K884" t="e">
        <f t="shared" si="9"/>
        <v>#VALUE!</v>
      </c>
    </row>
    <row r="885" spans="1:11" hidden="1" x14ac:dyDescent="0.25">
      <c r="A885">
        <f t="shared" si="0"/>
        <v>0</v>
      </c>
      <c r="B885" t="e">
        <f t="shared" si="1"/>
        <v>#VALUE!</v>
      </c>
      <c r="C885" t="e">
        <f t="shared" si="2"/>
        <v>#VALUE!</v>
      </c>
      <c r="D885" t="e">
        <f t="shared" si="3"/>
        <v>#VALUE!</v>
      </c>
      <c r="E885" t="e">
        <f t="shared" si="4"/>
        <v>#VALUE!</v>
      </c>
      <c r="F885" t="e">
        <f t="shared" si="5"/>
        <v>#VALUE!</v>
      </c>
      <c r="G885" t="e">
        <f t="shared" si="6"/>
        <v>#VALUE!</v>
      </c>
      <c r="H885" t="e">
        <f t="shared" si="7"/>
        <v>#VALUE!</v>
      </c>
      <c r="I885" t="e">
        <f t="shared" si="8"/>
        <v>#VALUE!</v>
      </c>
      <c r="J885" t="e">
        <f t="shared" si="10"/>
        <v>#VALUE!</v>
      </c>
      <c r="K885" t="e">
        <f t="shared" si="9"/>
        <v>#VALUE!</v>
      </c>
    </row>
    <row r="886" spans="1:11" hidden="1" x14ac:dyDescent="0.25">
      <c r="A886">
        <f t="shared" si="0"/>
        <v>0</v>
      </c>
      <c r="B886" t="e">
        <f t="shared" si="1"/>
        <v>#VALUE!</v>
      </c>
      <c r="C886" t="e">
        <f t="shared" si="2"/>
        <v>#VALUE!</v>
      </c>
      <c r="D886" t="e">
        <f t="shared" si="3"/>
        <v>#VALUE!</v>
      </c>
      <c r="E886" t="e">
        <f t="shared" si="4"/>
        <v>#VALUE!</v>
      </c>
      <c r="F886" t="e">
        <f t="shared" si="5"/>
        <v>#VALUE!</v>
      </c>
      <c r="G886" t="e">
        <f t="shared" si="6"/>
        <v>#VALUE!</v>
      </c>
      <c r="H886" t="e">
        <f t="shared" si="7"/>
        <v>#VALUE!</v>
      </c>
      <c r="I886" t="e">
        <f t="shared" si="8"/>
        <v>#VALUE!</v>
      </c>
      <c r="J886" t="e">
        <f t="shared" si="10"/>
        <v>#VALUE!</v>
      </c>
      <c r="K886" t="e">
        <f t="shared" si="9"/>
        <v>#VALUE!</v>
      </c>
    </row>
    <row r="887" spans="1:11" hidden="1" x14ac:dyDescent="0.25">
      <c r="A887">
        <f t="shared" si="0"/>
        <v>0</v>
      </c>
      <c r="B887" t="e">
        <f t="shared" si="1"/>
        <v>#VALUE!</v>
      </c>
      <c r="C887" t="e">
        <f t="shared" si="2"/>
        <v>#VALUE!</v>
      </c>
      <c r="D887" t="e">
        <f t="shared" si="3"/>
        <v>#VALUE!</v>
      </c>
      <c r="E887" t="e">
        <f t="shared" si="4"/>
        <v>#VALUE!</v>
      </c>
      <c r="F887" t="e">
        <f t="shared" si="5"/>
        <v>#VALUE!</v>
      </c>
      <c r="G887" t="e">
        <f t="shared" si="6"/>
        <v>#VALUE!</v>
      </c>
      <c r="H887" t="e">
        <f t="shared" si="7"/>
        <v>#VALUE!</v>
      </c>
      <c r="I887" t="e">
        <f t="shared" si="8"/>
        <v>#VALUE!</v>
      </c>
      <c r="J887" t="e">
        <f t="shared" si="10"/>
        <v>#VALUE!</v>
      </c>
      <c r="K887" t="e">
        <f t="shared" si="9"/>
        <v>#VALUE!</v>
      </c>
    </row>
    <row r="888" spans="1:11" hidden="1" x14ac:dyDescent="0.25">
      <c r="A888">
        <f t="shared" si="0"/>
        <v>0</v>
      </c>
      <c r="B888" t="e">
        <f t="shared" si="1"/>
        <v>#VALUE!</v>
      </c>
      <c r="C888" t="e">
        <f t="shared" si="2"/>
        <v>#VALUE!</v>
      </c>
      <c r="D888" t="e">
        <f t="shared" si="3"/>
        <v>#VALUE!</v>
      </c>
      <c r="E888" t="e">
        <f t="shared" si="4"/>
        <v>#VALUE!</v>
      </c>
      <c r="F888" t="e">
        <f t="shared" si="5"/>
        <v>#VALUE!</v>
      </c>
      <c r="G888" t="e">
        <f t="shared" si="6"/>
        <v>#VALUE!</v>
      </c>
      <c r="H888" t="e">
        <f t="shared" si="7"/>
        <v>#VALUE!</v>
      </c>
      <c r="I888" t="e">
        <f t="shared" si="8"/>
        <v>#VALUE!</v>
      </c>
      <c r="J888" t="e">
        <f t="shared" si="10"/>
        <v>#VALUE!</v>
      </c>
      <c r="K888" t="e">
        <f t="shared" si="9"/>
        <v>#VALUE!</v>
      </c>
    </row>
    <row r="889" spans="1:11" hidden="1" x14ac:dyDescent="0.25">
      <c r="A889">
        <f t="shared" si="0"/>
        <v>0</v>
      </c>
      <c r="B889" t="e">
        <f t="shared" si="1"/>
        <v>#VALUE!</v>
      </c>
      <c r="C889" t="e">
        <f t="shared" si="2"/>
        <v>#VALUE!</v>
      </c>
      <c r="D889" t="e">
        <f t="shared" si="3"/>
        <v>#VALUE!</v>
      </c>
      <c r="E889" t="e">
        <f t="shared" si="4"/>
        <v>#VALUE!</v>
      </c>
      <c r="F889" t="e">
        <f t="shared" si="5"/>
        <v>#VALUE!</v>
      </c>
      <c r="G889" t="e">
        <f t="shared" si="6"/>
        <v>#VALUE!</v>
      </c>
      <c r="H889" t="e">
        <f t="shared" si="7"/>
        <v>#VALUE!</v>
      </c>
      <c r="I889" t="e">
        <f t="shared" si="8"/>
        <v>#VALUE!</v>
      </c>
      <c r="J889" t="e">
        <f t="shared" si="10"/>
        <v>#VALUE!</v>
      </c>
      <c r="K889" t="e">
        <f t="shared" si="9"/>
        <v>#VALUE!</v>
      </c>
    </row>
    <row r="890" spans="1:11" hidden="1" x14ac:dyDescent="0.25">
      <c r="A890">
        <f t="shared" si="0"/>
        <v>0</v>
      </c>
      <c r="B890" t="e">
        <f t="shared" si="1"/>
        <v>#VALUE!</v>
      </c>
      <c r="C890" t="e">
        <f t="shared" si="2"/>
        <v>#VALUE!</v>
      </c>
      <c r="D890" t="e">
        <f t="shared" si="3"/>
        <v>#VALUE!</v>
      </c>
      <c r="E890" t="e">
        <f t="shared" si="4"/>
        <v>#VALUE!</v>
      </c>
      <c r="F890" t="e">
        <f t="shared" si="5"/>
        <v>#VALUE!</v>
      </c>
      <c r="G890" t="e">
        <f t="shared" si="6"/>
        <v>#VALUE!</v>
      </c>
      <c r="H890" t="e">
        <f t="shared" si="7"/>
        <v>#VALUE!</v>
      </c>
      <c r="I890" t="e">
        <f t="shared" si="8"/>
        <v>#VALUE!</v>
      </c>
      <c r="J890" t="e">
        <f t="shared" si="10"/>
        <v>#VALUE!</v>
      </c>
      <c r="K890" t="e">
        <f t="shared" si="9"/>
        <v>#VALUE!</v>
      </c>
    </row>
    <row r="891" spans="1:11" hidden="1" x14ac:dyDescent="0.25">
      <c r="A891">
        <f t="shared" si="0"/>
        <v>0</v>
      </c>
      <c r="B891" t="e">
        <f t="shared" si="1"/>
        <v>#VALUE!</v>
      </c>
      <c r="C891" t="e">
        <f t="shared" si="2"/>
        <v>#VALUE!</v>
      </c>
      <c r="D891" t="e">
        <f t="shared" si="3"/>
        <v>#VALUE!</v>
      </c>
      <c r="E891" t="e">
        <f t="shared" si="4"/>
        <v>#VALUE!</v>
      </c>
      <c r="F891" t="e">
        <f t="shared" si="5"/>
        <v>#VALUE!</v>
      </c>
      <c r="G891" t="e">
        <f t="shared" si="6"/>
        <v>#VALUE!</v>
      </c>
      <c r="H891" t="e">
        <f t="shared" si="7"/>
        <v>#VALUE!</v>
      </c>
      <c r="I891" t="e">
        <f t="shared" si="8"/>
        <v>#VALUE!</v>
      </c>
      <c r="J891" t="e">
        <f t="shared" si="10"/>
        <v>#VALUE!</v>
      </c>
      <c r="K891" t="e">
        <f t="shared" si="9"/>
        <v>#VALUE!</v>
      </c>
    </row>
    <row r="892" spans="1:11" hidden="1" x14ac:dyDescent="0.25">
      <c r="A892">
        <f t="shared" si="0"/>
        <v>0</v>
      </c>
      <c r="B892" t="e">
        <f t="shared" si="1"/>
        <v>#VALUE!</v>
      </c>
      <c r="C892" t="e">
        <f t="shared" si="2"/>
        <v>#VALUE!</v>
      </c>
      <c r="D892" t="e">
        <f t="shared" si="3"/>
        <v>#VALUE!</v>
      </c>
      <c r="E892" t="e">
        <f t="shared" si="4"/>
        <v>#VALUE!</v>
      </c>
      <c r="F892" t="e">
        <f t="shared" si="5"/>
        <v>#VALUE!</v>
      </c>
      <c r="G892" t="e">
        <f t="shared" si="6"/>
        <v>#VALUE!</v>
      </c>
      <c r="H892" t="e">
        <f t="shared" si="7"/>
        <v>#VALUE!</v>
      </c>
      <c r="I892" t="e">
        <f t="shared" si="8"/>
        <v>#VALUE!</v>
      </c>
      <c r="J892" t="e">
        <f t="shared" si="10"/>
        <v>#VALUE!</v>
      </c>
      <c r="K892" t="e">
        <f t="shared" si="9"/>
        <v>#VALUE!</v>
      </c>
    </row>
    <row r="893" spans="1:11" hidden="1" x14ac:dyDescent="0.25">
      <c r="A893">
        <f t="shared" si="0"/>
        <v>0</v>
      </c>
      <c r="B893" t="e">
        <f t="shared" si="1"/>
        <v>#VALUE!</v>
      </c>
      <c r="C893" t="e">
        <f t="shared" si="2"/>
        <v>#VALUE!</v>
      </c>
      <c r="D893" t="e">
        <f t="shared" si="3"/>
        <v>#VALUE!</v>
      </c>
      <c r="E893" t="e">
        <f t="shared" si="4"/>
        <v>#VALUE!</v>
      </c>
      <c r="F893" t="e">
        <f t="shared" si="5"/>
        <v>#VALUE!</v>
      </c>
      <c r="G893" t="e">
        <f t="shared" si="6"/>
        <v>#VALUE!</v>
      </c>
      <c r="H893" t="e">
        <f t="shared" si="7"/>
        <v>#VALUE!</v>
      </c>
      <c r="I893" t="e">
        <f t="shared" si="8"/>
        <v>#VALUE!</v>
      </c>
      <c r="J893" t="e">
        <f t="shared" si="10"/>
        <v>#VALUE!</v>
      </c>
      <c r="K893" t="e">
        <f t="shared" si="9"/>
        <v>#VALUE!</v>
      </c>
    </row>
    <row r="894" spans="1:11" hidden="1" x14ac:dyDescent="0.25">
      <c r="A894">
        <f t="shared" si="0"/>
        <v>0</v>
      </c>
      <c r="B894" t="e">
        <f t="shared" si="1"/>
        <v>#VALUE!</v>
      </c>
      <c r="C894" t="e">
        <f t="shared" si="2"/>
        <v>#VALUE!</v>
      </c>
      <c r="D894" t="e">
        <f t="shared" si="3"/>
        <v>#VALUE!</v>
      </c>
      <c r="E894" t="e">
        <f t="shared" si="4"/>
        <v>#VALUE!</v>
      </c>
      <c r="F894" t="e">
        <f t="shared" si="5"/>
        <v>#VALUE!</v>
      </c>
      <c r="G894" t="e">
        <f t="shared" si="6"/>
        <v>#VALUE!</v>
      </c>
      <c r="H894" t="e">
        <f t="shared" si="7"/>
        <v>#VALUE!</v>
      </c>
      <c r="I894" t="e">
        <f t="shared" si="8"/>
        <v>#VALUE!</v>
      </c>
      <c r="J894" t="e">
        <f t="shared" si="10"/>
        <v>#VALUE!</v>
      </c>
      <c r="K894" t="e">
        <f t="shared" si="9"/>
        <v>#VALUE!</v>
      </c>
    </row>
    <row r="895" spans="1:11" hidden="1" x14ac:dyDescent="0.25">
      <c r="A895">
        <f t="shared" si="0"/>
        <v>0</v>
      </c>
      <c r="B895" t="e">
        <f t="shared" si="1"/>
        <v>#VALUE!</v>
      </c>
      <c r="C895" t="e">
        <f t="shared" si="2"/>
        <v>#VALUE!</v>
      </c>
      <c r="D895" t="e">
        <f t="shared" si="3"/>
        <v>#VALUE!</v>
      </c>
      <c r="E895" t="e">
        <f t="shared" si="4"/>
        <v>#VALUE!</v>
      </c>
      <c r="F895" t="e">
        <f t="shared" si="5"/>
        <v>#VALUE!</v>
      </c>
      <c r="G895" t="e">
        <f t="shared" si="6"/>
        <v>#VALUE!</v>
      </c>
      <c r="H895" t="e">
        <f t="shared" si="7"/>
        <v>#VALUE!</v>
      </c>
      <c r="I895" t="e">
        <f t="shared" si="8"/>
        <v>#VALUE!</v>
      </c>
      <c r="J895" t="e">
        <f t="shared" si="10"/>
        <v>#VALUE!</v>
      </c>
      <c r="K895" t="e">
        <f t="shared" si="9"/>
        <v>#VALUE!</v>
      </c>
    </row>
    <row r="896" spans="1:11" hidden="1" x14ac:dyDescent="0.25">
      <c r="A896">
        <f t="shared" si="0"/>
        <v>0</v>
      </c>
      <c r="B896" t="e">
        <f t="shared" si="1"/>
        <v>#VALUE!</v>
      </c>
      <c r="C896" t="e">
        <f t="shared" si="2"/>
        <v>#VALUE!</v>
      </c>
      <c r="D896" t="e">
        <f t="shared" si="3"/>
        <v>#VALUE!</v>
      </c>
      <c r="E896" t="e">
        <f t="shared" si="4"/>
        <v>#VALUE!</v>
      </c>
      <c r="F896" t="e">
        <f t="shared" si="5"/>
        <v>#VALUE!</v>
      </c>
      <c r="G896" t="e">
        <f t="shared" si="6"/>
        <v>#VALUE!</v>
      </c>
      <c r="H896" t="e">
        <f t="shared" si="7"/>
        <v>#VALUE!</v>
      </c>
      <c r="I896" t="e">
        <f t="shared" si="8"/>
        <v>#VALUE!</v>
      </c>
      <c r="J896" t="e">
        <f t="shared" si="10"/>
        <v>#VALUE!</v>
      </c>
      <c r="K896" t="e">
        <f t="shared" si="9"/>
        <v>#VALUE!</v>
      </c>
    </row>
    <row r="897" spans="1:11" hidden="1" x14ac:dyDescent="0.25">
      <c r="A897">
        <f t="shared" si="0"/>
        <v>0</v>
      </c>
      <c r="B897" t="e">
        <f t="shared" si="1"/>
        <v>#VALUE!</v>
      </c>
      <c r="C897" t="e">
        <f t="shared" si="2"/>
        <v>#VALUE!</v>
      </c>
      <c r="D897" t="e">
        <f t="shared" si="3"/>
        <v>#VALUE!</v>
      </c>
      <c r="E897" t="e">
        <f t="shared" si="4"/>
        <v>#VALUE!</v>
      </c>
      <c r="F897" t="e">
        <f t="shared" si="5"/>
        <v>#VALUE!</v>
      </c>
      <c r="G897" t="e">
        <f t="shared" si="6"/>
        <v>#VALUE!</v>
      </c>
      <c r="H897" t="e">
        <f t="shared" si="7"/>
        <v>#VALUE!</v>
      </c>
      <c r="I897" t="e">
        <f t="shared" si="8"/>
        <v>#VALUE!</v>
      </c>
      <c r="J897" t="e">
        <f t="shared" si="10"/>
        <v>#VALUE!</v>
      </c>
      <c r="K897" t="e">
        <f t="shared" si="9"/>
        <v>#VALUE!</v>
      </c>
    </row>
    <row r="898" spans="1:11" hidden="1" x14ac:dyDescent="0.25">
      <c r="A898">
        <f t="shared" si="0"/>
        <v>0</v>
      </c>
      <c r="B898" t="e">
        <f t="shared" si="1"/>
        <v>#VALUE!</v>
      </c>
      <c r="C898" t="e">
        <f t="shared" si="2"/>
        <v>#VALUE!</v>
      </c>
      <c r="D898" t="e">
        <f t="shared" si="3"/>
        <v>#VALUE!</v>
      </c>
      <c r="E898" t="e">
        <f t="shared" si="4"/>
        <v>#VALUE!</v>
      </c>
      <c r="F898" t="e">
        <f t="shared" si="5"/>
        <v>#VALUE!</v>
      </c>
      <c r="G898" t="e">
        <f t="shared" si="6"/>
        <v>#VALUE!</v>
      </c>
      <c r="H898" t="e">
        <f t="shared" si="7"/>
        <v>#VALUE!</v>
      </c>
      <c r="I898" t="e">
        <f t="shared" si="8"/>
        <v>#VALUE!</v>
      </c>
      <c r="J898" t="e">
        <f t="shared" si="10"/>
        <v>#VALUE!</v>
      </c>
      <c r="K898" t="e">
        <f t="shared" si="9"/>
        <v>#VALUE!</v>
      </c>
    </row>
    <row r="899" spans="1:11" hidden="1" x14ac:dyDescent="0.25">
      <c r="A899">
        <f t="shared" si="0"/>
        <v>0</v>
      </c>
      <c r="B899" t="e">
        <f t="shared" si="1"/>
        <v>#VALUE!</v>
      </c>
      <c r="C899" t="e">
        <f t="shared" si="2"/>
        <v>#VALUE!</v>
      </c>
      <c r="D899" t="e">
        <f t="shared" si="3"/>
        <v>#VALUE!</v>
      </c>
      <c r="E899" t="e">
        <f t="shared" si="4"/>
        <v>#VALUE!</v>
      </c>
      <c r="F899" t="e">
        <f t="shared" si="5"/>
        <v>#VALUE!</v>
      </c>
      <c r="G899" t="e">
        <f t="shared" si="6"/>
        <v>#VALUE!</v>
      </c>
      <c r="H899" t="e">
        <f t="shared" si="7"/>
        <v>#VALUE!</v>
      </c>
      <c r="I899" t="e">
        <f t="shared" si="8"/>
        <v>#VALUE!</v>
      </c>
      <c r="J899" t="e">
        <f t="shared" si="10"/>
        <v>#VALUE!</v>
      </c>
      <c r="K899" t="e">
        <f t="shared" si="9"/>
        <v>#VALUE!</v>
      </c>
    </row>
    <row r="900" spans="1:11" hidden="1" x14ac:dyDescent="0.25">
      <c r="A900">
        <f t="shared" si="0"/>
        <v>0</v>
      </c>
      <c r="B900" t="e">
        <f t="shared" si="1"/>
        <v>#VALUE!</v>
      </c>
      <c r="C900" t="e">
        <f t="shared" si="2"/>
        <v>#VALUE!</v>
      </c>
      <c r="D900" t="e">
        <f t="shared" si="3"/>
        <v>#VALUE!</v>
      </c>
      <c r="E900" t="e">
        <f t="shared" si="4"/>
        <v>#VALUE!</v>
      </c>
      <c r="F900" t="e">
        <f t="shared" si="5"/>
        <v>#VALUE!</v>
      </c>
      <c r="G900" t="e">
        <f t="shared" si="6"/>
        <v>#VALUE!</v>
      </c>
      <c r="H900" t="e">
        <f t="shared" si="7"/>
        <v>#VALUE!</v>
      </c>
      <c r="I900" t="e">
        <f t="shared" si="8"/>
        <v>#VALUE!</v>
      </c>
      <c r="J900" t="e">
        <f t="shared" si="10"/>
        <v>#VALUE!</v>
      </c>
      <c r="K900" t="e">
        <f t="shared" si="9"/>
        <v>#VALUE!</v>
      </c>
    </row>
    <row r="901" spans="1:11" hidden="1" x14ac:dyDescent="0.25">
      <c r="A901">
        <f t="shared" si="0"/>
        <v>0</v>
      </c>
      <c r="B901" t="e">
        <f t="shared" si="1"/>
        <v>#VALUE!</v>
      </c>
      <c r="C901" t="e">
        <f t="shared" si="2"/>
        <v>#VALUE!</v>
      </c>
      <c r="D901" t="e">
        <f t="shared" si="3"/>
        <v>#VALUE!</v>
      </c>
      <c r="E901" t="e">
        <f t="shared" si="4"/>
        <v>#VALUE!</v>
      </c>
      <c r="F901" t="e">
        <f t="shared" si="5"/>
        <v>#VALUE!</v>
      </c>
      <c r="G901" t="e">
        <f t="shared" si="6"/>
        <v>#VALUE!</v>
      </c>
      <c r="H901" t="e">
        <f t="shared" si="7"/>
        <v>#VALUE!</v>
      </c>
      <c r="I901" t="e">
        <f t="shared" si="8"/>
        <v>#VALUE!</v>
      </c>
      <c r="J901" t="e">
        <f t="shared" si="10"/>
        <v>#VALUE!</v>
      </c>
      <c r="K901" t="e">
        <f t="shared" si="9"/>
        <v>#VALUE!</v>
      </c>
    </row>
    <row r="902" spans="1:11" hidden="1" x14ac:dyDescent="0.25">
      <c r="A902">
        <f t="shared" si="0"/>
        <v>0</v>
      </c>
      <c r="B902" t="e">
        <f t="shared" si="1"/>
        <v>#VALUE!</v>
      </c>
      <c r="C902" t="e">
        <f t="shared" si="2"/>
        <v>#VALUE!</v>
      </c>
      <c r="D902" t="e">
        <f t="shared" si="3"/>
        <v>#VALUE!</v>
      </c>
      <c r="E902" t="e">
        <f t="shared" si="4"/>
        <v>#VALUE!</v>
      </c>
      <c r="F902" t="e">
        <f t="shared" si="5"/>
        <v>#VALUE!</v>
      </c>
      <c r="G902" t="e">
        <f t="shared" si="6"/>
        <v>#VALUE!</v>
      </c>
      <c r="H902" t="e">
        <f t="shared" si="7"/>
        <v>#VALUE!</v>
      </c>
      <c r="I902" t="e">
        <f t="shared" si="8"/>
        <v>#VALUE!</v>
      </c>
      <c r="J902" t="e">
        <f t="shared" si="10"/>
        <v>#VALUE!</v>
      </c>
      <c r="K902" t="e">
        <f t="shared" si="9"/>
        <v>#VALUE!</v>
      </c>
    </row>
    <row r="903" spans="1:11" hidden="1" x14ac:dyDescent="0.25">
      <c r="A903">
        <f t="shared" si="0"/>
        <v>0</v>
      </c>
      <c r="B903" t="e">
        <f t="shared" si="1"/>
        <v>#VALUE!</v>
      </c>
      <c r="C903" t="e">
        <f t="shared" si="2"/>
        <v>#VALUE!</v>
      </c>
      <c r="D903" t="e">
        <f t="shared" si="3"/>
        <v>#VALUE!</v>
      </c>
      <c r="E903" t="e">
        <f t="shared" si="4"/>
        <v>#VALUE!</v>
      </c>
      <c r="F903" t="e">
        <f t="shared" si="5"/>
        <v>#VALUE!</v>
      </c>
      <c r="G903" t="e">
        <f t="shared" si="6"/>
        <v>#VALUE!</v>
      </c>
      <c r="H903" t="e">
        <f t="shared" si="7"/>
        <v>#VALUE!</v>
      </c>
      <c r="I903" t="e">
        <f t="shared" si="8"/>
        <v>#VALUE!</v>
      </c>
      <c r="J903" t="e">
        <f t="shared" si="10"/>
        <v>#VALUE!</v>
      </c>
      <c r="K903" t="e">
        <f t="shared" si="9"/>
        <v>#VALUE!</v>
      </c>
    </row>
    <row r="904" spans="1:11" hidden="1" x14ac:dyDescent="0.25">
      <c r="A904">
        <f t="shared" si="0"/>
        <v>0</v>
      </c>
      <c r="B904" t="e">
        <f t="shared" si="1"/>
        <v>#VALUE!</v>
      </c>
      <c r="C904" t="e">
        <f t="shared" si="2"/>
        <v>#VALUE!</v>
      </c>
      <c r="D904" t="e">
        <f t="shared" si="3"/>
        <v>#VALUE!</v>
      </c>
      <c r="E904" t="e">
        <f t="shared" si="4"/>
        <v>#VALUE!</v>
      </c>
      <c r="F904" t="e">
        <f t="shared" si="5"/>
        <v>#VALUE!</v>
      </c>
      <c r="G904" t="e">
        <f t="shared" si="6"/>
        <v>#VALUE!</v>
      </c>
      <c r="H904" t="e">
        <f t="shared" si="7"/>
        <v>#VALUE!</v>
      </c>
      <c r="I904" t="e">
        <f t="shared" si="8"/>
        <v>#VALUE!</v>
      </c>
      <c r="J904" t="e">
        <f t="shared" si="10"/>
        <v>#VALUE!</v>
      </c>
      <c r="K904" t="e">
        <f t="shared" si="9"/>
        <v>#VALUE!</v>
      </c>
    </row>
    <row r="905" spans="1:11" hidden="1" x14ac:dyDescent="0.25">
      <c r="A905">
        <f t="shared" si="0"/>
        <v>0</v>
      </c>
      <c r="B905" t="e">
        <f t="shared" si="1"/>
        <v>#VALUE!</v>
      </c>
      <c r="C905" t="e">
        <f t="shared" si="2"/>
        <v>#VALUE!</v>
      </c>
      <c r="D905" t="e">
        <f t="shared" si="3"/>
        <v>#VALUE!</v>
      </c>
      <c r="E905" t="e">
        <f t="shared" si="4"/>
        <v>#VALUE!</v>
      </c>
      <c r="F905" t="e">
        <f t="shared" si="5"/>
        <v>#VALUE!</v>
      </c>
      <c r="G905" t="e">
        <f t="shared" si="6"/>
        <v>#VALUE!</v>
      </c>
      <c r="H905" t="e">
        <f t="shared" si="7"/>
        <v>#VALUE!</v>
      </c>
      <c r="I905" t="e">
        <f t="shared" si="8"/>
        <v>#VALUE!</v>
      </c>
      <c r="J905" t="e">
        <f t="shared" si="10"/>
        <v>#VALUE!</v>
      </c>
      <c r="K905" t="e">
        <f t="shared" si="9"/>
        <v>#VALUE!</v>
      </c>
    </row>
    <row r="906" spans="1:11" hidden="1" x14ac:dyDescent="0.25">
      <c r="A906">
        <f t="shared" si="0"/>
        <v>0</v>
      </c>
      <c r="B906" t="e">
        <f t="shared" si="1"/>
        <v>#VALUE!</v>
      </c>
      <c r="C906" t="e">
        <f t="shared" si="2"/>
        <v>#VALUE!</v>
      </c>
      <c r="D906" t="e">
        <f t="shared" si="3"/>
        <v>#VALUE!</v>
      </c>
      <c r="E906" t="e">
        <f t="shared" si="4"/>
        <v>#VALUE!</v>
      </c>
      <c r="F906" t="e">
        <f t="shared" si="5"/>
        <v>#VALUE!</v>
      </c>
      <c r="G906" t="e">
        <f t="shared" si="6"/>
        <v>#VALUE!</v>
      </c>
      <c r="H906" t="e">
        <f t="shared" si="7"/>
        <v>#VALUE!</v>
      </c>
      <c r="I906" t="e">
        <f t="shared" si="8"/>
        <v>#VALUE!</v>
      </c>
      <c r="J906" t="e">
        <f t="shared" si="10"/>
        <v>#VALUE!</v>
      </c>
      <c r="K906" t="e">
        <f t="shared" si="9"/>
        <v>#VALUE!</v>
      </c>
    </row>
    <row r="907" spans="1:11" hidden="1" x14ac:dyDescent="0.25">
      <c r="A907">
        <f t="shared" si="0"/>
        <v>0</v>
      </c>
      <c r="B907" t="e">
        <f t="shared" si="1"/>
        <v>#VALUE!</v>
      </c>
      <c r="C907" t="e">
        <f t="shared" si="2"/>
        <v>#VALUE!</v>
      </c>
      <c r="D907" t="e">
        <f t="shared" si="3"/>
        <v>#VALUE!</v>
      </c>
      <c r="E907" t="e">
        <f t="shared" si="4"/>
        <v>#VALUE!</v>
      </c>
      <c r="F907" t="e">
        <f t="shared" si="5"/>
        <v>#VALUE!</v>
      </c>
      <c r="G907" t="e">
        <f t="shared" si="6"/>
        <v>#VALUE!</v>
      </c>
      <c r="H907" t="e">
        <f t="shared" si="7"/>
        <v>#VALUE!</v>
      </c>
      <c r="I907" t="e">
        <f t="shared" si="8"/>
        <v>#VALUE!</v>
      </c>
      <c r="J907" t="e">
        <f t="shared" si="10"/>
        <v>#VALUE!</v>
      </c>
      <c r="K907" t="e">
        <f t="shared" si="9"/>
        <v>#VALUE!</v>
      </c>
    </row>
    <row r="908" spans="1:11" hidden="1" x14ac:dyDescent="0.25">
      <c r="A908">
        <f t="shared" si="0"/>
        <v>0</v>
      </c>
      <c r="B908" t="e">
        <f t="shared" si="1"/>
        <v>#VALUE!</v>
      </c>
      <c r="C908" t="e">
        <f t="shared" si="2"/>
        <v>#VALUE!</v>
      </c>
      <c r="D908" t="e">
        <f t="shared" si="3"/>
        <v>#VALUE!</v>
      </c>
      <c r="E908" t="e">
        <f t="shared" si="4"/>
        <v>#VALUE!</v>
      </c>
      <c r="F908" t="e">
        <f t="shared" si="5"/>
        <v>#VALUE!</v>
      </c>
      <c r="G908" t="e">
        <f t="shared" si="6"/>
        <v>#VALUE!</v>
      </c>
      <c r="H908" t="e">
        <f t="shared" si="7"/>
        <v>#VALUE!</v>
      </c>
      <c r="I908" t="e">
        <f t="shared" si="8"/>
        <v>#VALUE!</v>
      </c>
      <c r="J908" t="e">
        <f t="shared" si="10"/>
        <v>#VALUE!</v>
      </c>
      <c r="K908" t="e">
        <f t="shared" si="9"/>
        <v>#VALUE!</v>
      </c>
    </row>
    <row r="909" spans="1:11" hidden="1" x14ac:dyDescent="0.25">
      <c r="A909">
        <f t="shared" si="0"/>
        <v>0</v>
      </c>
      <c r="B909" t="e">
        <f t="shared" si="1"/>
        <v>#VALUE!</v>
      </c>
      <c r="C909" t="e">
        <f t="shared" si="2"/>
        <v>#VALUE!</v>
      </c>
      <c r="D909" t="e">
        <f t="shared" si="3"/>
        <v>#VALUE!</v>
      </c>
      <c r="E909" t="e">
        <f t="shared" si="4"/>
        <v>#VALUE!</v>
      </c>
      <c r="F909" t="e">
        <f t="shared" si="5"/>
        <v>#VALUE!</v>
      </c>
      <c r="G909" t="e">
        <f t="shared" si="6"/>
        <v>#VALUE!</v>
      </c>
      <c r="H909" t="e">
        <f t="shared" si="7"/>
        <v>#VALUE!</v>
      </c>
      <c r="I909" t="e">
        <f t="shared" si="8"/>
        <v>#VALUE!</v>
      </c>
      <c r="J909" t="e">
        <f t="shared" si="10"/>
        <v>#VALUE!</v>
      </c>
      <c r="K909" t="e">
        <f t="shared" si="9"/>
        <v>#VALUE!</v>
      </c>
    </row>
    <row r="910" spans="1:11" hidden="1" x14ac:dyDescent="0.25">
      <c r="A910">
        <f t="shared" si="0"/>
        <v>0</v>
      </c>
      <c r="B910" t="e">
        <f t="shared" si="1"/>
        <v>#VALUE!</v>
      </c>
      <c r="C910" t="e">
        <f t="shared" si="2"/>
        <v>#VALUE!</v>
      </c>
      <c r="D910" t="e">
        <f t="shared" si="3"/>
        <v>#VALUE!</v>
      </c>
      <c r="E910" t="e">
        <f t="shared" si="4"/>
        <v>#VALUE!</v>
      </c>
      <c r="F910" t="e">
        <f t="shared" si="5"/>
        <v>#VALUE!</v>
      </c>
      <c r="G910" t="e">
        <f t="shared" si="6"/>
        <v>#VALUE!</v>
      </c>
      <c r="H910" t="e">
        <f t="shared" si="7"/>
        <v>#VALUE!</v>
      </c>
      <c r="I910" t="e">
        <f t="shared" si="8"/>
        <v>#VALUE!</v>
      </c>
      <c r="J910" t="e">
        <f t="shared" si="10"/>
        <v>#VALUE!</v>
      </c>
      <c r="K910" t="e">
        <f t="shared" si="9"/>
        <v>#VALUE!</v>
      </c>
    </row>
    <row r="911" spans="1:11" hidden="1" x14ac:dyDescent="0.25">
      <c r="A911">
        <f t="shared" si="0"/>
        <v>0</v>
      </c>
      <c r="B911" t="e">
        <f t="shared" si="1"/>
        <v>#VALUE!</v>
      </c>
      <c r="C911" t="e">
        <f t="shared" si="2"/>
        <v>#VALUE!</v>
      </c>
      <c r="D911" t="e">
        <f t="shared" si="3"/>
        <v>#VALUE!</v>
      </c>
      <c r="E911" t="e">
        <f t="shared" si="4"/>
        <v>#VALUE!</v>
      </c>
      <c r="F911" t="e">
        <f t="shared" si="5"/>
        <v>#VALUE!</v>
      </c>
      <c r="G911" t="e">
        <f t="shared" si="6"/>
        <v>#VALUE!</v>
      </c>
      <c r="H911" t="e">
        <f t="shared" si="7"/>
        <v>#VALUE!</v>
      </c>
      <c r="I911" t="e">
        <f t="shared" si="8"/>
        <v>#VALUE!</v>
      </c>
      <c r="J911" t="e">
        <f t="shared" si="10"/>
        <v>#VALUE!</v>
      </c>
      <c r="K911" t="e">
        <f t="shared" si="9"/>
        <v>#VALUE!</v>
      </c>
    </row>
    <row r="912" spans="1:11" hidden="1" x14ac:dyDescent="0.25">
      <c r="A912">
        <f t="shared" si="0"/>
        <v>0</v>
      </c>
      <c r="B912" t="e">
        <f t="shared" si="1"/>
        <v>#VALUE!</v>
      </c>
      <c r="C912" t="e">
        <f t="shared" si="2"/>
        <v>#VALUE!</v>
      </c>
      <c r="D912" t="e">
        <f t="shared" si="3"/>
        <v>#VALUE!</v>
      </c>
      <c r="E912" t="e">
        <f t="shared" si="4"/>
        <v>#VALUE!</v>
      </c>
      <c r="F912" t="e">
        <f t="shared" si="5"/>
        <v>#VALUE!</v>
      </c>
      <c r="G912" t="e">
        <f t="shared" si="6"/>
        <v>#VALUE!</v>
      </c>
      <c r="H912" t="e">
        <f t="shared" si="7"/>
        <v>#VALUE!</v>
      </c>
      <c r="I912" t="e">
        <f t="shared" si="8"/>
        <v>#VALUE!</v>
      </c>
      <c r="J912" t="e">
        <f t="shared" si="10"/>
        <v>#VALUE!</v>
      </c>
      <c r="K912" t="e">
        <f t="shared" si="9"/>
        <v>#VALUE!</v>
      </c>
    </row>
    <row r="913" spans="1:11" hidden="1" x14ac:dyDescent="0.25">
      <c r="A913">
        <f t="shared" si="0"/>
        <v>0</v>
      </c>
      <c r="B913" t="e">
        <f t="shared" si="1"/>
        <v>#VALUE!</v>
      </c>
      <c r="C913" t="e">
        <f t="shared" si="2"/>
        <v>#VALUE!</v>
      </c>
      <c r="D913" t="e">
        <f t="shared" si="3"/>
        <v>#VALUE!</v>
      </c>
      <c r="E913" t="e">
        <f t="shared" si="4"/>
        <v>#VALUE!</v>
      </c>
      <c r="F913" t="e">
        <f t="shared" si="5"/>
        <v>#VALUE!</v>
      </c>
      <c r="G913" t="e">
        <f t="shared" si="6"/>
        <v>#VALUE!</v>
      </c>
      <c r="H913" t="e">
        <f t="shared" si="7"/>
        <v>#VALUE!</v>
      </c>
      <c r="I913" t="e">
        <f t="shared" si="8"/>
        <v>#VALUE!</v>
      </c>
      <c r="J913" t="e">
        <f t="shared" si="10"/>
        <v>#VALUE!</v>
      </c>
      <c r="K913" t="e">
        <f t="shared" si="9"/>
        <v>#VALUE!</v>
      </c>
    </row>
    <row r="914" spans="1:11" hidden="1" x14ac:dyDescent="0.25">
      <c r="A914">
        <f t="shared" si="0"/>
        <v>0</v>
      </c>
      <c r="B914" t="e">
        <f t="shared" si="1"/>
        <v>#VALUE!</v>
      </c>
      <c r="C914" t="e">
        <f t="shared" si="2"/>
        <v>#VALUE!</v>
      </c>
      <c r="D914" t="e">
        <f t="shared" si="3"/>
        <v>#VALUE!</v>
      </c>
      <c r="E914" t="e">
        <f t="shared" si="4"/>
        <v>#VALUE!</v>
      </c>
      <c r="F914" t="e">
        <f t="shared" si="5"/>
        <v>#VALUE!</v>
      </c>
      <c r="G914" t="e">
        <f t="shared" si="6"/>
        <v>#VALUE!</v>
      </c>
      <c r="H914" t="e">
        <f t="shared" si="7"/>
        <v>#VALUE!</v>
      </c>
      <c r="I914" t="e">
        <f t="shared" si="8"/>
        <v>#VALUE!</v>
      </c>
      <c r="J914" t="e">
        <f t="shared" si="10"/>
        <v>#VALUE!</v>
      </c>
      <c r="K914" t="e">
        <f t="shared" si="9"/>
        <v>#VALUE!</v>
      </c>
    </row>
    <row r="915" spans="1:11" hidden="1" x14ac:dyDescent="0.25">
      <c r="A915">
        <f t="shared" si="0"/>
        <v>0</v>
      </c>
      <c r="B915" t="e">
        <f t="shared" si="1"/>
        <v>#VALUE!</v>
      </c>
      <c r="C915" t="e">
        <f t="shared" si="2"/>
        <v>#VALUE!</v>
      </c>
      <c r="D915" t="e">
        <f t="shared" si="3"/>
        <v>#VALUE!</v>
      </c>
      <c r="E915" t="e">
        <f t="shared" si="4"/>
        <v>#VALUE!</v>
      </c>
      <c r="F915" t="e">
        <f t="shared" si="5"/>
        <v>#VALUE!</v>
      </c>
      <c r="G915" t="e">
        <f t="shared" si="6"/>
        <v>#VALUE!</v>
      </c>
      <c r="H915" t="e">
        <f t="shared" si="7"/>
        <v>#VALUE!</v>
      </c>
      <c r="I915" t="e">
        <f t="shared" si="8"/>
        <v>#VALUE!</v>
      </c>
      <c r="J915" t="e">
        <f t="shared" si="10"/>
        <v>#VALUE!</v>
      </c>
      <c r="K915" t="e">
        <f t="shared" si="9"/>
        <v>#VALUE!</v>
      </c>
    </row>
    <row r="916" spans="1:11" hidden="1" x14ac:dyDescent="0.25">
      <c r="A916">
        <f t="shared" ref="A916:A979" si="11" xml:space="preserve"> IF(OR(LEFT(B76,1)= "T",LEFT(B76,1)= "G"),4,0)</f>
        <v>0</v>
      </c>
      <c r="B916" t="e">
        <f t="shared" ref="B916:B979" si="12">MID(B76,2,1)*2</f>
        <v>#VALUE!</v>
      </c>
      <c r="C916" t="e">
        <f t="shared" ref="C916:C979" si="13">MID(B76,3,1)*7</f>
        <v>#VALUE!</v>
      </c>
      <c r="D916" t="e">
        <f t="shared" ref="D916:D979" si="14">MID(B76,4,1)*6</f>
        <v>#VALUE!</v>
      </c>
      <c r="E916" t="e">
        <f t="shared" ref="E916:E979" si="15">MID(B76,5,1)*5</f>
        <v>#VALUE!</v>
      </c>
      <c r="F916" t="e">
        <f t="shared" ref="F916:F979" si="16">MID(B76,6,1)*4</f>
        <v>#VALUE!</v>
      </c>
      <c r="G916" t="e">
        <f t="shared" ref="G916:G979" si="17">MID(B76,7,1)*3</f>
        <v>#VALUE!</v>
      </c>
      <c r="H916" t="e">
        <f t="shared" ref="H916:H979" si="18">MID(B76,8,1)*2</f>
        <v>#VALUE!</v>
      </c>
      <c r="I916" t="e">
        <f t="shared" ref="I916:I979" si="19">IF(OR(LEFT(B76,1)="T",LEFT(B76,1)="G"),(SUM(B916:H916))+4,SUM(B916:H916))</f>
        <v>#VALUE!</v>
      </c>
      <c r="J916" t="e">
        <f t="shared" si="10"/>
        <v>#VALUE!</v>
      </c>
      <c r="K916" t="e">
        <f t="shared" ref="K916:K979" si="20" xml:space="preserve"> IF(OR(LEFT(B76,1)= "S",LEFT(B76,1)= "T"),VLOOKUP(J916,$A$826:$B$836,2,FALSE), VLOOKUP(J916,$A$840:$B$850,2,FALSE))</f>
        <v>#VALUE!</v>
      </c>
    </row>
    <row r="917" spans="1:11" hidden="1" x14ac:dyDescent="0.25">
      <c r="A917">
        <f t="shared" si="11"/>
        <v>0</v>
      </c>
      <c r="B917" t="e">
        <f t="shared" si="12"/>
        <v>#VALUE!</v>
      </c>
      <c r="C917" t="e">
        <f t="shared" si="13"/>
        <v>#VALUE!</v>
      </c>
      <c r="D917" t="e">
        <f t="shared" si="14"/>
        <v>#VALUE!</v>
      </c>
      <c r="E917" t="e">
        <f t="shared" si="15"/>
        <v>#VALUE!</v>
      </c>
      <c r="F917" t="e">
        <f t="shared" si="16"/>
        <v>#VALUE!</v>
      </c>
      <c r="G917" t="e">
        <f t="shared" si="17"/>
        <v>#VALUE!</v>
      </c>
      <c r="H917" t="e">
        <f t="shared" si="18"/>
        <v>#VALUE!</v>
      </c>
      <c r="I917" t="e">
        <f t="shared" si="19"/>
        <v>#VALUE!</v>
      </c>
      <c r="J917" t="e">
        <f t="shared" ref="J917:J980" si="21">MOD(I917,11)</f>
        <v>#VALUE!</v>
      </c>
      <c r="K917" t="e">
        <f t="shared" si="20"/>
        <v>#VALUE!</v>
      </c>
    </row>
    <row r="918" spans="1:11" hidden="1" x14ac:dyDescent="0.25">
      <c r="A918">
        <f t="shared" si="11"/>
        <v>0</v>
      </c>
      <c r="B918" t="e">
        <f t="shared" si="12"/>
        <v>#VALUE!</v>
      </c>
      <c r="C918" t="e">
        <f t="shared" si="13"/>
        <v>#VALUE!</v>
      </c>
      <c r="D918" t="e">
        <f t="shared" si="14"/>
        <v>#VALUE!</v>
      </c>
      <c r="E918" t="e">
        <f t="shared" si="15"/>
        <v>#VALUE!</v>
      </c>
      <c r="F918" t="e">
        <f t="shared" si="16"/>
        <v>#VALUE!</v>
      </c>
      <c r="G918" t="e">
        <f t="shared" si="17"/>
        <v>#VALUE!</v>
      </c>
      <c r="H918" t="e">
        <f t="shared" si="18"/>
        <v>#VALUE!</v>
      </c>
      <c r="I918" t="e">
        <f t="shared" si="19"/>
        <v>#VALUE!</v>
      </c>
      <c r="J918" t="e">
        <f t="shared" si="21"/>
        <v>#VALUE!</v>
      </c>
      <c r="K918" t="e">
        <f t="shared" si="20"/>
        <v>#VALUE!</v>
      </c>
    </row>
    <row r="919" spans="1:11" hidden="1" x14ac:dyDescent="0.25">
      <c r="A919">
        <f t="shared" si="11"/>
        <v>0</v>
      </c>
      <c r="B919" t="e">
        <f t="shared" si="12"/>
        <v>#VALUE!</v>
      </c>
      <c r="C919" t="e">
        <f t="shared" si="13"/>
        <v>#VALUE!</v>
      </c>
      <c r="D919" t="e">
        <f t="shared" si="14"/>
        <v>#VALUE!</v>
      </c>
      <c r="E919" t="e">
        <f t="shared" si="15"/>
        <v>#VALUE!</v>
      </c>
      <c r="F919" t="e">
        <f t="shared" si="16"/>
        <v>#VALUE!</v>
      </c>
      <c r="G919" t="e">
        <f t="shared" si="17"/>
        <v>#VALUE!</v>
      </c>
      <c r="H919" t="e">
        <f t="shared" si="18"/>
        <v>#VALUE!</v>
      </c>
      <c r="I919" t="e">
        <f t="shared" si="19"/>
        <v>#VALUE!</v>
      </c>
      <c r="J919" t="e">
        <f t="shared" si="21"/>
        <v>#VALUE!</v>
      </c>
      <c r="K919" t="e">
        <f t="shared" si="20"/>
        <v>#VALUE!</v>
      </c>
    </row>
    <row r="920" spans="1:11" hidden="1" x14ac:dyDescent="0.25">
      <c r="A920">
        <f t="shared" si="11"/>
        <v>0</v>
      </c>
      <c r="B920" t="e">
        <f t="shared" si="12"/>
        <v>#VALUE!</v>
      </c>
      <c r="C920" t="e">
        <f t="shared" si="13"/>
        <v>#VALUE!</v>
      </c>
      <c r="D920" t="e">
        <f t="shared" si="14"/>
        <v>#VALUE!</v>
      </c>
      <c r="E920" t="e">
        <f t="shared" si="15"/>
        <v>#VALUE!</v>
      </c>
      <c r="F920" t="e">
        <f t="shared" si="16"/>
        <v>#VALUE!</v>
      </c>
      <c r="G920" t="e">
        <f t="shared" si="17"/>
        <v>#VALUE!</v>
      </c>
      <c r="H920" t="e">
        <f t="shared" si="18"/>
        <v>#VALUE!</v>
      </c>
      <c r="I920" t="e">
        <f t="shared" si="19"/>
        <v>#VALUE!</v>
      </c>
      <c r="J920" t="e">
        <f t="shared" si="21"/>
        <v>#VALUE!</v>
      </c>
      <c r="K920" t="e">
        <f t="shared" si="20"/>
        <v>#VALUE!</v>
      </c>
    </row>
    <row r="921" spans="1:11" hidden="1" x14ac:dyDescent="0.25">
      <c r="A921">
        <f t="shared" si="11"/>
        <v>0</v>
      </c>
      <c r="B921" t="e">
        <f t="shared" si="12"/>
        <v>#VALUE!</v>
      </c>
      <c r="C921" t="e">
        <f t="shared" si="13"/>
        <v>#VALUE!</v>
      </c>
      <c r="D921" t="e">
        <f t="shared" si="14"/>
        <v>#VALUE!</v>
      </c>
      <c r="E921" t="e">
        <f t="shared" si="15"/>
        <v>#VALUE!</v>
      </c>
      <c r="F921" t="e">
        <f t="shared" si="16"/>
        <v>#VALUE!</v>
      </c>
      <c r="G921" t="e">
        <f t="shared" si="17"/>
        <v>#VALUE!</v>
      </c>
      <c r="H921" t="e">
        <f t="shared" si="18"/>
        <v>#VALUE!</v>
      </c>
      <c r="I921" t="e">
        <f t="shared" si="19"/>
        <v>#VALUE!</v>
      </c>
      <c r="J921" t="e">
        <f t="shared" si="21"/>
        <v>#VALUE!</v>
      </c>
      <c r="K921" t="e">
        <f t="shared" si="20"/>
        <v>#VALUE!</v>
      </c>
    </row>
    <row r="922" spans="1:11" hidden="1" x14ac:dyDescent="0.25">
      <c r="A922">
        <f t="shared" si="11"/>
        <v>0</v>
      </c>
      <c r="B922" t="e">
        <f t="shared" si="12"/>
        <v>#VALUE!</v>
      </c>
      <c r="C922" t="e">
        <f t="shared" si="13"/>
        <v>#VALUE!</v>
      </c>
      <c r="D922" t="e">
        <f t="shared" si="14"/>
        <v>#VALUE!</v>
      </c>
      <c r="E922" t="e">
        <f t="shared" si="15"/>
        <v>#VALUE!</v>
      </c>
      <c r="F922" t="e">
        <f t="shared" si="16"/>
        <v>#VALUE!</v>
      </c>
      <c r="G922" t="e">
        <f t="shared" si="17"/>
        <v>#VALUE!</v>
      </c>
      <c r="H922" t="e">
        <f t="shared" si="18"/>
        <v>#VALUE!</v>
      </c>
      <c r="I922" t="e">
        <f t="shared" si="19"/>
        <v>#VALUE!</v>
      </c>
      <c r="J922" t="e">
        <f t="shared" si="21"/>
        <v>#VALUE!</v>
      </c>
      <c r="K922" t="e">
        <f t="shared" si="20"/>
        <v>#VALUE!</v>
      </c>
    </row>
    <row r="923" spans="1:11" hidden="1" x14ac:dyDescent="0.25">
      <c r="A923">
        <f t="shared" si="11"/>
        <v>0</v>
      </c>
      <c r="B923" t="e">
        <f t="shared" si="12"/>
        <v>#VALUE!</v>
      </c>
      <c r="C923" t="e">
        <f t="shared" si="13"/>
        <v>#VALUE!</v>
      </c>
      <c r="D923" t="e">
        <f t="shared" si="14"/>
        <v>#VALUE!</v>
      </c>
      <c r="E923" t="e">
        <f t="shared" si="15"/>
        <v>#VALUE!</v>
      </c>
      <c r="F923" t="e">
        <f t="shared" si="16"/>
        <v>#VALUE!</v>
      </c>
      <c r="G923" t="e">
        <f t="shared" si="17"/>
        <v>#VALUE!</v>
      </c>
      <c r="H923" t="e">
        <f t="shared" si="18"/>
        <v>#VALUE!</v>
      </c>
      <c r="I923" t="e">
        <f t="shared" si="19"/>
        <v>#VALUE!</v>
      </c>
      <c r="J923" t="e">
        <f t="shared" si="21"/>
        <v>#VALUE!</v>
      </c>
      <c r="K923" t="e">
        <f t="shared" si="20"/>
        <v>#VALUE!</v>
      </c>
    </row>
    <row r="924" spans="1:11" hidden="1" x14ac:dyDescent="0.25">
      <c r="A924">
        <f t="shared" si="11"/>
        <v>0</v>
      </c>
      <c r="B924" t="e">
        <f t="shared" si="12"/>
        <v>#VALUE!</v>
      </c>
      <c r="C924" t="e">
        <f t="shared" si="13"/>
        <v>#VALUE!</v>
      </c>
      <c r="D924" t="e">
        <f t="shared" si="14"/>
        <v>#VALUE!</v>
      </c>
      <c r="E924" t="e">
        <f t="shared" si="15"/>
        <v>#VALUE!</v>
      </c>
      <c r="F924" t="e">
        <f t="shared" si="16"/>
        <v>#VALUE!</v>
      </c>
      <c r="G924" t="e">
        <f t="shared" si="17"/>
        <v>#VALUE!</v>
      </c>
      <c r="H924" t="e">
        <f t="shared" si="18"/>
        <v>#VALUE!</v>
      </c>
      <c r="I924" t="e">
        <f t="shared" si="19"/>
        <v>#VALUE!</v>
      </c>
      <c r="J924" t="e">
        <f t="shared" si="21"/>
        <v>#VALUE!</v>
      </c>
      <c r="K924" t="e">
        <f t="shared" si="20"/>
        <v>#VALUE!</v>
      </c>
    </row>
    <row r="925" spans="1:11" hidden="1" x14ac:dyDescent="0.25">
      <c r="A925">
        <f t="shared" si="11"/>
        <v>0</v>
      </c>
      <c r="B925" t="e">
        <f t="shared" si="12"/>
        <v>#VALUE!</v>
      </c>
      <c r="C925" t="e">
        <f t="shared" si="13"/>
        <v>#VALUE!</v>
      </c>
      <c r="D925" t="e">
        <f t="shared" si="14"/>
        <v>#VALUE!</v>
      </c>
      <c r="E925" t="e">
        <f t="shared" si="15"/>
        <v>#VALUE!</v>
      </c>
      <c r="F925" t="e">
        <f t="shared" si="16"/>
        <v>#VALUE!</v>
      </c>
      <c r="G925" t="e">
        <f t="shared" si="17"/>
        <v>#VALUE!</v>
      </c>
      <c r="H925" t="e">
        <f t="shared" si="18"/>
        <v>#VALUE!</v>
      </c>
      <c r="I925" t="e">
        <f t="shared" si="19"/>
        <v>#VALUE!</v>
      </c>
      <c r="J925" t="e">
        <f t="shared" si="21"/>
        <v>#VALUE!</v>
      </c>
      <c r="K925" t="e">
        <f t="shared" si="20"/>
        <v>#VALUE!</v>
      </c>
    </row>
    <row r="926" spans="1:11" hidden="1" x14ac:dyDescent="0.25">
      <c r="A926">
        <f t="shared" si="11"/>
        <v>0</v>
      </c>
      <c r="B926" t="e">
        <f t="shared" si="12"/>
        <v>#VALUE!</v>
      </c>
      <c r="C926" t="e">
        <f t="shared" si="13"/>
        <v>#VALUE!</v>
      </c>
      <c r="D926" t="e">
        <f t="shared" si="14"/>
        <v>#VALUE!</v>
      </c>
      <c r="E926" t="e">
        <f t="shared" si="15"/>
        <v>#VALUE!</v>
      </c>
      <c r="F926" t="e">
        <f t="shared" si="16"/>
        <v>#VALUE!</v>
      </c>
      <c r="G926" t="e">
        <f t="shared" si="17"/>
        <v>#VALUE!</v>
      </c>
      <c r="H926" t="e">
        <f t="shared" si="18"/>
        <v>#VALUE!</v>
      </c>
      <c r="I926" t="e">
        <f t="shared" si="19"/>
        <v>#VALUE!</v>
      </c>
      <c r="J926" t="e">
        <f t="shared" si="21"/>
        <v>#VALUE!</v>
      </c>
      <c r="K926" t="e">
        <f t="shared" si="20"/>
        <v>#VALUE!</v>
      </c>
    </row>
    <row r="927" spans="1:11" hidden="1" x14ac:dyDescent="0.25">
      <c r="A927">
        <f t="shared" si="11"/>
        <v>0</v>
      </c>
      <c r="B927" t="e">
        <f t="shared" si="12"/>
        <v>#VALUE!</v>
      </c>
      <c r="C927" t="e">
        <f t="shared" si="13"/>
        <v>#VALUE!</v>
      </c>
      <c r="D927" t="e">
        <f t="shared" si="14"/>
        <v>#VALUE!</v>
      </c>
      <c r="E927" t="e">
        <f t="shared" si="15"/>
        <v>#VALUE!</v>
      </c>
      <c r="F927" t="e">
        <f t="shared" si="16"/>
        <v>#VALUE!</v>
      </c>
      <c r="G927" t="e">
        <f t="shared" si="17"/>
        <v>#VALUE!</v>
      </c>
      <c r="H927" t="e">
        <f t="shared" si="18"/>
        <v>#VALUE!</v>
      </c>
      <c r="I927" t="e">
        <f t="shared" si="19"/>
        <v>#VALUE!</v>
      </c>
      <c r="J927" t="e">
        <f t="shared" si="21"/>
        <v>#VALUE!</v>
      </c>
      <c r="K927" t="e">
        <f t="shared" si="20"/>
        <v>#VALUE!</v>
      </c>
    </row>
    <row r="928" spans="1:11" hidden="1" x14ac:dyDescent="0.25">
      <c r="A928">
        <f t="shared" si="11"/>
        <v>0</v>
      </c>
      <c r="B928" t="e">
        <f t="shared" si="12"/>
        <v>#VALUE!</v>
      </c>
      <c r="C928" t="e">
        <f t="shared" si="13"/>
        <v>#VALUE!</v>
      </c>
      <c r="D928" t="e">
        <f t="shared" si="14"/>
        <v>#VALUE!</v>
      </c>
      <c r="E928" t="e">
        <f t="shared" si="15"/>
        <v>#VALUE!</v>
      </c>
      <c r="F928" t="e">
        <f t="shared" si="16"/>
        <v>#VALUE!</v>
      </c>
      <c r="G928" t="e">
        <f t="shared" si="17"/>
        <v>#VALUE!</v>
      </c>
      <c r="H928" t="e">
        <f t="shared" si="18"/>
        <v>#VALUE!</v>
      </c>
      <c r="I928" t="e">
        <f t="shared" si="19"/>
        <v>#VALUE!</v>
      </c>
      <c r="J928" t="e">
        <f t="shared" si="21"/>
        <v>#VALUE!</v>
      </c>
      <c r="K928" t="e">
        <f t="shared" si="20"/>
        <v>#VALUE!</v>
      </c>
    </row>
    <row r="929" spans="1:11" hidden="1" x14ac:dyDescent="0.25">
      <c r="A929">
        <f t="shared" si="11"/>
        <v>0</v>
      </c>
      <c r="B929" t="e">
        <f t="shared" si="12"/>
        <v>#VALUE!</v>
      </c>
      <c r="C929" t="e">
        <f t="shared" si="13"/>
        <v>#VALUE!</v>
      </c>
      <c r="D929" t="e">
        <f t="shared" si="14"/>
        <v>#VALUE!</v>
      </c>
      <c r="E929" t="e">
        <f t="shared" si="15"/>
        <v>#VALUE!</v>
      </c>
      <c r="F929" t="e">
        <f t="shared" si="16"/>
        <v>#VALUE!</v>
      </c>
      <c r="G929" t="e">
        <f t="shared" si="17"/>
        <v>#VALUE!</v>
      </c>
      <c r="H929" t="e">
        <f t="shared" si="18"/>
        <v>#VALUE!</v>
      </c>
      <c r="I929" t="e">
        <f t="shared" si="19"/>
        <v>#VALUE!</v>
      </c>
      <c r="J929" t="e">
        <f t="shared" si="21"/>
        <v>#VALUE!</v>
      </c>
      <c r="K929" t="e">
        <f t="shared" si="20"/>
        <v>#VALUE!</v>
      </c>
    </row>
    <row r="930" spans="1:11" hidden="1" x14ac:dyDescent="0.25">
      <c r="A930">
        <f t="shared" si="11"/>
        <v>0</v>
      </c>
      <c r="B930" t="e">
        <f t="shared" si="12"/>
        <v>#VALUE!</v>
      </c>
      <c r="C930" t="e">
        <f t="shared" si="13"/>
        <v>#VALUE!</v>
      </c>
      <c r="D930" t="e">
        <f t="shared" si="14"/>
        <v>#VALUE!</v>
      </c>
      <c r="E930" t="e">
        <f t="shared" si="15"/>
        <v>#VALUE!</v>
      </c>
      <c r="F930" t="e">
        <f t="shared" si="16"/>
        <v>#VALUE!</v>
      </c>
      <c r="G930" t="e">
        <f t="shared" si="17"/>
        <v>#VALUE!</v>
      </c>
      <c r="H930" t="e">
        <f t="shared" si="18"/>
        <v>#VALUE!</v>
      </c>
      <c r="I930" t="e">
        <f t="shared" si="19"/>
        <v>#VALUE!</v>
      </c>
      <c r="J930" t="e">
        <f t="shared" si="21"/>
        <v>#VALUE!</v>
      </c>
      <c r="K930" t="e">
        <f t="shared" si="20"/>
        <v>#VALUE!</v>
      </c>
    </row>
    <row r="931" spans="1:11" hidden="1" x14ac:dyDescent="0.25">
      <c r="A931">
        <f t="shared" si="11"/>
        <v>0</v>
      </c>
      <c r="B931" t="e">
        <f t="shared" si="12"/>
        <v>#VALUE!</v>
      </c>
      <c r="C931" t="e">
        <f t="shared" si="13"/>
        <v>#VALUE!</v>
      </c>
      <c r="D931" t="e">
        <f t="shared" si="14"/>
        <v>#VALUE!</v>
      </c>
      <c r="E931" t="e">
        <f t="shared" si="15"/>
        <v>#VALUE!</v>
      </c>
      <c r="F931" t="e">
        <f t="shared" si="16"/>
        <v>#VALUE!</v>
      </c>
      <c r="G931" t="e">
        <f t="shared" si="17"/>
        <v>#VALUE!</v>
      </c>
      <c r="H931" t="e">
        <f t="shared" si="18"/>
        <v>#VALUE!</v>
      </c>
      <c r="I931" t="e">
        <f t="shared" si="19"/>
        <v>#VALUE!</v>
      </c>
      <c r="J931" t="e">
        <f t="shared" si="21"/>
        <v>#VALUE!</v>
      </c>
      <c r="K931" t="e">
        <f t="shared" si="20"/>
        <v>#VALUE!</v>
      </c>
    </row>
    <row r="932" spans="1:11" hidden="1" x14ac:dyDescent="0.25">
      <c r="A932">
        <f t="shared" si="11"/>
        <v>0</v>
      </c>
      <c r="B932" t="e">
        <f t="shared" si="12"/>
        <v>#VALUE!</v>
      </c>
      <c r="C932" t="e">
        <f t="shared" si="13"/>
        <v>#VALUE!</v>
      </c>
      <c r="D932" t="e">
        <f t="shared" si="14"/>
        <v>#VALUE!</v>
      </c>
      <c r="E932" t="e">
        <f t="shared" si="15"/>
        <v>#VALUE!</v>
      </c>
      <c r="F932" t="e">
        <f t="shared" si="16"/>
        <v>#VALUE!</v>
      </c>
      <c r="G932" t="e">
        <f t="shared" si="17"/>
        <v>#VALUE!</v>
      </c>
      <c r="H932" t="e">
        <f t="shared" si="18"/>
        <v>#VALUE!</v>
      </c>
      <c r="I932" t="e">
        <f t="shared" si="19"/>
        <v>#VALUE!</v>
      </c>
      <c r="J932" t="e">
        <f t="shared" si="21"/>
        <v>#VALUE!</v>
      </c>
      <c r="K932" t="e">
        <f t="shared" si="20"/>
        <v>#VALUE!</v>
      </c>
    </row>
    <row r="933" spans="1:11" hidden="1" x14ac:dyDescent="0.25">
      <c r="A933">
        <f t="shared" si="11"/>
        <v>0</v>
      </c>
      <c r="B933" t="e">
        <f t="shared" si="12"/>
        <v>#VALUE!</v>
      </c>
      <c r="C933" t="e">
        <f t="shared" si="13"/>
        <v>#VALUE!</v>
      </c>
      <c r="D933" t="e">
        <f t="shared" si="14"/>
        <v>#VALUE!</v>
      </c>
      <c r="E933" t="e">
        <f t="shared" si="15"/>
        <v>#VALUE!</v>
      </c>
      <c r="F933" t="e">
        <f t="shared" si="16"/>
        <v>#VALUE!</v>
      </c>
      <c r="G933" t="e">
        <f t="shared" si="17"/>
        <v>#VALUE!</v>
      </c>
      <c r="H933" t="e">
        <f t="shared" si="18"/>
        <v>#VALUE!</v>
      </c>
      <c r="I933" t="e">
        <f t="shared" si="19"/>
        <v>#VALUE!</v>
      </c>
      <c r="J933" t="e">
        <f t="shared" si="21"/>
        <v>#VALUE!</v>
      </c>
      <c r="K933" t="e">
        <f t="shared" si="20"/>
        <v>#VALUE!</v>
      </c>
    </row>
    <row r="934" spans="1:11" hidden="1" x14ac:dyDescent="0.25">
      <c r="A934">
        <f t="shared" si="11"/>
        <v>0</v>
      </c>
      <c r="B934" t="e">
        <f t="shared" si="12"/>
        <v>#VALUE!</v>
      </c>
      <c r="C934" t="e">
        <f t="shared" si="13"/>
        <v>#VALUE!</v>
      </c>
      <c r="D934" t="e">
        <f t="shared" si="14"/>
        <v>#VALUE!</v>
      </c>
      <c r="E934" t="e">
        <f t="shared" si="15"/>
        <v>#VALUE!</v>
      </c>
      <c r="F934" t="e">
        <f t="shared" si="16"/>
        <v>#VALUE!</v>
      </c>
      <c r="G934" t="e">
        <f t="shared" si="17"/>
        <v>#VALUE!</v>
      </c>
      <c r="H934" t="e">
        <f t="shared" si="18"/>
        <v>#VALUE!</v>
      </c>
      <c r="I934" t="e">
        <f t="shared" si="19"/>
        <v>#VALUE!</v>
      </c>
      <c r="J934" t="e">
        <f t="shared" si="21"/>
        <v>#VALUE!</v>
      </c>
      <c r="K934" t="e">
        <f t="shared" si="20"/>
        <v>#VALUE!</v>
      </c>
    </row>
    <row r="935" spans="1:11" hidden="1" x14ac:dyDescent="0.25">
      <c r="A935">
        <f t="shared" si="11"/>
        <v>0</v>
      </c>
      <c r="B935" t="e">
        <f t="shared" si="12"/>
        <v>#VALUE!</v>
      </c>
      <c r="C935" t="e">
        <f t="shared" si="13"/>
        <v>#VALUE!</v>
      </c>
      <c r="D935" t="e">
        <f t="shared" si="14"/>
        <v>#VALUE!</v>
      </c>
      <c r="E935" t="e">
        <f t="shared" si="15"/>
        <v>#VALUE!</v>
      </c>
      <c r="F935" t="e">
        <f t="shared" si="16"/>
        <v>#VALUE!</v>
      </c>
      <c r="G935" t="e">
        <f t="shared" si="17"/>
        <v>#VALUE!</v>
      </c>
      <c r="H935" t="e">
        <f t="shared" si="18"/>
        <v>#VALUE!</v>
      </c>
      <c r="I935" t="e">
        <f t="shared" si="19"/>
        <v>#VALUE!</v>
      </c>
      <c r="J935" t="e">
        <f t="shared" si="21"/>
        <v>#VALUE!</v>
      </c>
      <c r="K935" t="e">
        <f t="shared" si="20"/>
        <v>#VALUE!</v>
      </c>
    </row>
    <row r="936" spans="1:11" hidden="1" x14ac:dyDescent="0.25">
      <c r="A936">
        <f t="shared" si="11"/>
        <v>0</v>
      </c>
      <c r="B936" t="e">
        <f t="shared" si="12"/>
        <v>#VALUE!</v>
      </c>
      <c r="C936" t="e">
        <f t="shared" si="13"/>
        <v>#VALUE!</v>
      </c>
      <c r="D936" t="e">
        <f t="shared" si="14"/>
        <v>#VALUE!</v>
      </c>
      <c r="E936" t="e">
        <f t="shared" si="15"/>
        <v>#VALUE!</v>
      </c>
      <c r="F936" t="e">
        <f t="shared" si="16"/>
        <v>#VALUE!</v>
      </c>
      <c r="G936" t="e">
        <f t="shared" si="17"/>
        <v>#VALUE!</v>
      </c>
      <c r="H936" t="e">
        <f t="shared" si="18"/>
        <v>#VALUE!</v>
      </c>
      <c r="I936" t="e">
        <f t="shared" si="19"/>
        <v>#VALUE!</v>
      </c>
      <c r="J936" t="e">
        <f t="shared" si="21"/>
        <v>#VALUE!</v>
      </c>
      <c r="K936" t="e">
        <f t="shared" si="20"/>
        <v>#VALUE!</v>
      </c>
    </row>
    <row r="937" spans="1:11" hidden="1" x14ac:dyDescent="0.25">
      <c r="A937">
        <f t="shared" si="11"/>
        <v>0</v>
      </c>
      <c r="B937" t="e">
        <f t="shared" si="12"/>
        <v>#VALUE!</v>
      </c>
      <c r="C937" t="e">
        <f t="shared" si="13"/>
        <v>#VALUE!</v>
      </c>
      <c r="D937" t="e">
        <f t="shared" si="14"/>
        <v>#VALUE!</v>
      </c>
      <c r="E937" t="e">
        <f t="shared" si="15"/>
        <v>#VALUE!</v>
      </c>
      <c r="F937" t="e">
        <f t="shared" si="16"/>
        <v>#VALUE!</v>
      </c>
      <c r="G937" t="e">
        <f t="shared" si="17"/>
        <v>#VALUE!</v>
      </c>
      <c r="H937" t="e">
        <f t="shared" si="18"/>
        <v>#VALUE!</v>
      </c>
      <c r="I937" t="e">
        <f t="shared" si="19"/>
        <v>#VALUE!</v>
      </c>
      <c r="J937" t="e">
        <f t="shared" si="21"/>
        <v>#VALUE!</v>
      </c>
      <c r="K937" t="e">
        <f t="shared" si="20"/>
        <v>#VALUE!</v>
      </c>
    </row>
    <row r="938" spans="1:11" hidden="1" x14ac:dyDescent="0.25">
      <c r="A938">
        <f t="shared" si="11"/>
        <v>0</v>
      </c>
      <c r="B938" t="e">
        <f t="shared" si="12"/>
        <v>#VALUE!</v>
      </c>
      <c r="C938" t="e">
        <f t="shared" si="13"/>
        <v>#VALUE!</v>
      </c>
      <c r="D938" t="e">
        <f t="shared" si="14"/>
        <v>#VALUE!</v>
      </c>
      <c r="E938" t="e">
        <f t="shared" si="15"/>
        <v>#VALUE!</v>
      </c>
      <c r="F938" t="e">
        <f t="shared" si="16"/>
        <v>#VALUE!</v>
      </c>
      <c r="G938" t="e">
        <f t="shared" si="17"/>
        <v>#VALUE!</v>
      </c>
      <c r="H938" t="e">
        <f t="shared" si="18"/>
        <v>#VALUE!</v>
      </c>
      <c r="I938" t="e">
        <f t="shared" si="19"/>
        <v>#VALUE!</v>
      </c>
      <c r="J938" t="e">
        <f t="shared" si="21"/>
        <v>#VALUE!</v>
      </c>
      <c r="K938" t="e">
        <f t="shared" si="20"/>
        <v>#VALUE!</v>
      </c>
    </row>
    <row r="939" spans="1:11" hidden="1" x14ac:dyDescent="0.25">
      <c r="A939">
        <f t="shared" si="11"/>
        <v>0</v>
      </c>
      <c r="B939" t="e">
        <f t="shared" si="12"/>
        <v>#VALUE!</v>
      </c>
      <c r="C939" t="e">
        <f t="shared" si="13"/>
        <v>#VALUE!</v>
      </c>
      <c r="D939" t="e">
        <f t="shared" si="14"/>
        <v>#VALUE!</v>
      </c>
      <c r="E939" t="e">
        <f t="shared" si="15"/>
        <v>#VALUE!</v>
      </c>
      <c r="F939" t="e">
        <f t="shared" si="16"/>
        <v>#VALUE!</v>
      </c>
      <c r="G939" t="e">
        <f t="shared" si="17"/>
        <v>#VALUE!</v>
      </c>
      <c r="H939" t="e">
        <f t="shared" si="18"/>
        <v>#VALUE!</v>
      </c>
      <c r="I939" t="e">
        <f t="shared" si="19"/>
        <v>#VALUE!</v>
      </c>
      <c r="J939" t="e">
        <f t="shared" si="21"/>
        <v>#VALUE!</v>
      </c>
      <c r="K939" t="e">
        <f t="shared" si="20"/>
        <v>#VALUE!</v>
      </c>
    </row>
    <row r="940" spans="1:11" hidden="1" x14ac:dyDescent="0.25">
      <c r="A940">
        <f t="shared" si="11"/>
        <v>0</v>
      </c>
      <c r="B940" t="e">
        <f t="shared" si="12"/>
        <v>#VALUE!</v>
      </c>
      <c r="C940" t="e">
        <f t="shared" si="13"/>
        <v>#VALUE!</v>
      </c>
      <c r="D940" t="e">
        <f t="shared" si="14"/>
        <v>#VALUE!</v>
      </c>
      <c r="E940" t="e">
        <f t="shared" si="15"/>
        <v>#VALUE!</v>
      </c>
      <c r="F940" t="e">
        <f t="shared" si="16"/>
        <v>#VALUE!</v>
      </c>
      <c r="G940" t="e">
        <f t="shared" si="17"/>
        <v>#VALUE!</v>
      </c>
      <c r="H940" t="e">
        <f t="shared" si="18"/>
        <v>#VALUE!</v>
      </c>
      <c r="I940" t="e">
        <f t="shared" si="19"/>
        <v>#VALUE!</v>
      </c>
      <c r="J940" t="e">
        <f t="shared" si="21"/>
        <v>#VALUE!</v>
      </c>
      <c r="K940" t="e">
        <f t="shared" si="20"/>
        <v>#VALUE!</v>
      </c>
    </row>
    <row r="941" spans="1:11" hidden="1" x14ac:dyDescent="0.25">
      <c r="A941">
        <f t="shared" si="11"/>
        <v>0</v>
      </c>
      <c r="B941" t="e">
        <f t="shared" si="12"/>
        <v>#VALUE!</v>
      </c>
      <c r="C941" t="e">
        <f t="shared" si="13"/>
        <v>#VALUE!</v>
      </c>
      <c r="D941" t="e">
        <f t="shared" si="14"/>
        <v>#VALUE!</v>
      </c>
      <c r="E941" t="e">
        <f t="shared" si="15"/>
        <v>#VALUE!</v>
      </c>
      <c r="F941" t="e">
        <f t="shared" si="16"/>
        <v>#VALUE!</v>
      </c>
      <c r="G941" t="e">
        <f t="shared" si="17"/>
        <v>#VALUE!</v>
      </c>
      <c r="H941" t="e">
        <f t="shared" si="18"/>
        <v>#VALUE!</v>
      </c>
      <c r="I941" t="e">
        <f t="shared" si="19"/>
        <v>#VALUE!</v>
      </c>
      <c r="J941" t="e">
        <f t="shared" si="21"/>
        <v>#VALUE!</v>
      </c>
      <c r="K941" t="e">
        <f t="shared" si="20"/>
        <v>#VALUE!</v>
      </c>
    </row>
    <row r="942" spans="1:11" hidden="1" x14ac:dyDescent="0.25">
      <c r="A942">
        <f t="shared" si="11"/>
        <v>0</v>
      </c>
      <c r="B942" t="e">
        <f t="shared" si="12"/>
        <v>#VALUE!</v>
      </c>
      <c r="C942" t="e">
        <f t="shared" si="13"/>
        <v>#VALUE!</v>
      </c>
      <c r="D942" t="e">
        <f t="shared" si="14"/>
        <v>#VALUE!</v>
      </c>
      <c r="E942" t="e">
        <f t="shared" si="15"/>
        <v>#VALUE!</v>
      </c>
      <c r="F942" t="e">
        <f t="shared" si="16"/>
        <v>#VALUE!</v>
      </c>
      <c r="G942" t="e">
        <f t="shared" si="17"/>
        <v>#VALUE!</v>
      </c>
      <c r="H942" t="e">
        <f t="shared" si="18"/>
        <v>#VALUE!</v>
      </c>
      <c r="I942" t="e">
        <f t="shared" si="19"/>
        <v>#VALUE!</v>
      </c>
      <c r="J942" t="e">
        <f t="shared" si="21"/>
        <v>#VALUE!</v>
      </c>
      <c r="K942" t="e">
        <f t="shared" si="20"/>
        <v>#VALUE!</v>
      </c>
    </row>
    <row r="943" spans="1:11" hidden="1" x14ac:dyDescent="0.25">
      <c r="A943">
        <f t="shared" si="11"/>
        <v>0</v>
      </c>
      <c r="B943" t="e">
        <f t="shared" si="12"/>
        <v>#VALUE!</v>
      </c>
      <c r="C943" t="e">
        <f t="shared" si="13"/>
        <v>#VALUE!</v>
      </c>
      <c r="D943" t="e">
        <f t="shared" si="14"/>
        <v>#VALUE!</v>
      </c>
      <c r="E943" t="e">
        <f t="shared" si="15"/>
        <v>#VALUE!</v>
      </c>
      <c r="F943" t="e">
        <f t="shared" si="16"/>
        <v>#VALUE!</v>
      </c>
      <c r="G943" t="e">
        <f t="shared" si="17"/>
        <v>#VALUE!</v>
      </c>
      <c r="H943" t="e">
        <f t="shared" si="18"/>
        <v>#VALUE!</v>
      </c>
      <c r="I943" t="e">
        <f t="shared" si="19"/>
        <v>#VALUE!</v>
      </c>
      <c r="J943" t="e">
        <f t="shared" si="21"/>
        <v>#VALUE!</v>
      </c>
      <c r="K943" t="e">
        <f t="shared" si="20"/>
        <v>#VALUE!</v>
      </c>
    </row>
    <row r="944" spans="1:11" hidden="1" x14ac:dyDescent="0.25">
      <c r="A944">
        <f t="shared" si="11"/>
        <v>0</v>
      </c>
      <c r="B944" t="e">
        <f t="shared" si="12"/>
        <v>#VALUE!</v>
      </c>
      <c r="C944" t="e">
        <f t="shared" si="13"/>
        <v>#VALUE!</v>
      </c>
      <c r="D944" t="e">
        <f t="shared" si="14"/>
        <v>#VALUE!</v>
      </c>
      <c r="E944" t="e">
        <f t="shared" si="15"/>
        <v>#VALUE!</v>
      </c>
      <c r="F944" t="e">
        <f t="shared" si="16"/>
        <v>#VALUE!</v>
      </c>
      <c r="G944" t="e">
        <f t="shared" si="17"/>
        <v>#VALUE!</v>
      </c>
      <c r="H944" t="e">
        <f t="shared" si="18"/>
        <v>#VALUE!</v>
      </c>
      <c r="I944" t="e">
        <f t="shared" si="19"/>
        <v>#VALUE!</v>
      </c>
      <c r="J944" t="e">
        <f t="shared" si="21"/>
        <v>#VALUE!</v>
      </c>
      <c r="K944" t="e">
        <f t="shared" si="20"/>
        <v>#VALUE!</v>
      </c>
    </row>
    <row r="945" spans="1:11" hidden="1" x14ac:dyDescent="0.25">
      <c r="A945">
        <f t="shared" si="11"/>
        <v>0</v>
      </c>
      <c r="B945" t="e">
        <f t="shared" si="12"/>
        <v>#VALUE!</v>
      </c>
      <c r="C945" t="e">
        <f t="shared" si="13"/>
        <v>#VALUE!</v>
      </c>
      <c r="D945" t="e">
        <f t="shared" si="14"/>
        <v>#VALUE!</v>
      </c>
      <c r="E945" t="e">
        <f t="shared" si="15"/>
        <v>#VALUE!</v>
      </c>
      <c r="F945" t="e">
        <f t="shared" si="16"/>
        <v>#VALUE!</v>
      </c>
      <c r="G945" t="e">
        <f t="shared" si="17"/>
        <v>#VALUE!</v>
      </c>
      <c r="H945" t="e">
        <f t="shared" si="18"/>
        <v>#VALUE!</v>
      </c>
      <c r="I945" t="e">
        <f t="shared" si="19"/>
        <v>#VALUE!</v>
      </c>
      <c r="J945" t="e">
        <f t="shared" si="21"/>
        <v>#VALUE!</v>
      </c>
      <c r="K945" t="e">
        <f t="shared" si="20"/>
        <v>#VALUE!</v>
      </c>
    </row>
    <row r="946" spans="1:11" hidden="1" x14ac:dyDescent="0.25">
      <c r="A946">
        <f t="shared" si="11"/>
        <v>0</v>
      </c>
      <c r="B946" t="e">
        <f t="shared" si="12"/>
        <v>#VALUE!</v>
      </c>
      <c r="C946" t="e">
        <f t="shared" si="13"/>
        <v>#VALUE!</v>
      </c>
      <c r="D946" t="e">
        <f t="shared" si="14"/>
        <v>#VALUE!</v>
      </c>
      <c r="E946" t="e">
        <f t="shared" si="15"/>
        <v>#VALUE!</v>
      </c>
      <c r="F946" t="e">
        <f t="shared" si="16"/>
        <v>#VALUE!</v>
      </c>
      <c r="G946" t="e">
        <f t="shared" si="17"/>
        <v>#VALUE!</v>
      </c>
      <c r="H946" t="e">
        <f t="shared" si="18"/>
        <v>#VALUE!</v>
      </c>
      <c r="I946" t="e">
        <f t="shared" si="19"/>
        <v>#VALUE!</v>
      </c>
      <c r="J946" t="e">
        <f t="shared" si="21"/>
        <v>#VALUE!</v>
      </c>
      <c r="K946" t="e">
        <f t="shared" si="20"/>
        <v>#VALUE!</v>
      </c>
    </row>
    <row r="947" spans="1:11" hidden="1" x14ac:dyDescent="0.25">
      <c r="A947">
        <f t="shared" si="11"/>
        <v>0</v>
      </c>
      <c r="B947" t="e">
        <f t="shared" si="12"/>
        <v>#VALUE!</v>
      </c>
      <c r="C947" t="e">
        <f t="shared" si="13"/>
        <v>#VALUE!</v>
      </c>
      <c r="D947" t="e">
        <f t="shared" si="14"/>
        <v>#VALUE!</v>
      </c>
      <c r="E947" t="e">
        <f t="shared" si="15"/>
        <v>#VALUE!</v>
      </c>
      <c r="F947" t="e">
        <f t="shared" si="16"/>
        <v>#VALUE!</v>
      </c>
      <c r="G947" t="e">
        <f t="shared" si="17"/>
        <v>#VALUE!</v>
      </c>
      <c r="H947" t="e">
        <f t="shared" si="18"/>
        <v>#VALUE!</v>
      </c>
      <c r="I947" t="e">
        <f t="shared" si="19"/>
        <v>#VALUE!</v>
      </c>
      <c r="J947" t="e">
        <f t="shared" si="21"/>
        <v>#VALUE!</v>
      </c>
      <c r="K947" t="e">
        <f t="shared" si="20"/>
        <v>#VALUE!</v>
      </c>
    </row>
    <row r="948" spans="1:11" hidden="1" x14ac:dyDescent="0.25">
      <c r="A948">
        <f t="shared" si="11"/>
        <v>0</v>
      </c>
      <c r="B948" t="e">
        <f t="shared" si="12"/>
        <v>#VALUE!</v>
      </c>
      <c r="C948" t="e">
        <f t="shared" si="13"/>
        <v>#VALUE!</v>
      </c>
      <c r="D948" t="e">
        <f t="shared" si="14"/>
        <v>#VALUE!</v>
      </c>
      <c r="E948" t="e">
        <f t="shared" si="15"/>
        <v>#VALUE!</v>
      </c>
      <c r="F948" t="e">
        <f t="shared" si="16"/>
        <v>#VALUE!</v>
      </c>
      <c r="G948" t="e">
        <f t="shared" si="17"/>
        <v>#VALUE!</v>
      </c>
      <c r="H948" t="e">
        <f t="shared" si="18"/>
        <v>#VALUE!</v>
      </c>
      <c r="I948" t="e">
        <f t="shared" si="19"/>
        <v>#VALUE!</v>
      </c>
      <c r="J948" t="e">
        <f t="shared" si="21"/>
        <v>#VALUE!</v>
      </c>
      <c r="K948" t="e">
        <f t="shared" si="20"/>
        <v>#VALUE!</v>
      </c>
    </row>
    <row r="949" spans="1:11" hidden="1" x14ac:dyDescent="0.25">
      <c r="A949">
        <f t="shared" si="11"/>
        <v>0</v>
      </c>
      <c r="B949" t="e">
        <f t="shared" si="12"/>
        <v>#VALUE!</v>
      </c>
      <c r="C949" t="e">
        <f t="shared" si="13"/>
        <v>#VALUE!</v>
      </c>
      <c r="D949" t="e">
        <f t="shared" si="14"/>
        <v>#VALUE!</v>
      </c>
      <c r="E949" t="e">
        <f t="shared" si="15"/>
        <v>#VALUE!</v>
      </c>
      <c r="F949" t="e">
        <f t="shared" si="16"/>
        <v>#VALUE!</v>
      </c>
      <c r="G949" t="e">
        <f t="shared" si="17"/>
        <v>#VALUE!</v>
      </c>
      <c r="H949" t="e">
        <f t="shared" si="18"/>
        <v>#VALUE!</v>
      </c>
      <c r="I949" t="e">
        <f t="shared" si="19"/>
        <v>#VALUE!</v>
      </c>
      <c r="J949" t="e">
        <f t="shared" si="21"/>
        <v>#VALUE!</v>
      </c>
      <c r="K949" t="e">
        <f t="shared" si="20"/>
        <v>#VALUE!</v>
      </c>
    </row>
    <row r="950" spans="1:11" hidden="1" x14ac:dyDescent="0.25">
      <c r="A950">
        <f t="shared" si="11"/>
        <v>0</v>
      </c>
      <c r="B950" t="e">
        <f t="shared" si="12"/>
        <v>#VALUE!</v>
      </c>
      <c r="C950" t="e">
        <f t="shared" si="13"/>
        <v>#VALUE!</v>
      </c>
      <c r="D950" t="e">
        <f t="shared" si="14"/>
        <v>#VALUE!</v>
      </c>
      <c r="E950" t="e">
        <f t="shared" si="15"/>
        <v>#VALUE!</v>
      </c>
      <c r="F950" t="e">
        <f t="shared" si="16"/>
        <v>#VALUE!</v>
      </c>
      <c r="G950" t="e">
        <f t="shared" si="17"/>
        <v>#VALUE!</v>
      </c>
      <c r="H950" t="e">
        <f t="shared" si="18"/>
        <v>#VALUE!</v>
      </c>
      <c r="I950" t="e">
        <f t="shared" si="19"/>
        <v>#VALUE!</v>
      </c>
      <c r="J950" t="e">
        <f t="shared" si="21"/>
        <v>#VALUE!</v>
      </c>
      <c r="K950" t="e">
        <f t="shared" si="20"/>
        <v>#VALUE!</v>
      </c>
    </row>
    <row r="951" spans="1:11" hidden="1" x14ac:dyDescent="0.25">
      <c r="A951">
        <f t="shared" si="11"/>
        <v>0</v>
      </c>
      <c r="B951" t="e">
        <f t="shared" si="12"/>
        <v>#VALUE!</v>
      </c>
      <c r="C951" t="e">
        <f t="shared" si="13"/>
        <v>#VALUE!</v>
      </c>
      <c r="D951" t="e">
        <f t="shared" si="14"/>
        <v>#VALUE!</v>
      </c>
      <c r="E951" t="e">
        <f t="shared" si="15"/>
        <v>#VALUE!</v>
      </c>
      <c r="F951" t="e">
        <f t="shared" si="16"/>
        <v>#VALUE!</v>
      </c>
      <c r="G951" t="e">
        <f t="shared" si="17"/>
        <v>#VALUE!</v>
      </c>
      <c r="H951" t="e">
        <f t="shared" si="18"/>
        <v>#VALUE!</v>
      </c>
      <c r="I951" t="e">
        <f t="shared" si="19"/>
        <v>#VALUE!</v>
      </c>
      <c r="J951" t="e">
        <f t="shared" si="21"/>
        <v>#VALUE!</v>
      </c>
      <c r="K951" t="e">
        <f t="shared" si="20"/>
        <v>#VALUE!</v>
      </c>
    </row>
    <row r="952" spans="1:11" hidden="1" x14ac:dyDescent="0.25">
      <c r="A952">
        <f t="shared" si="11"/>
        <v>0</v>
      </c>
      <c r="B952" t="e">
        <f t="shared" si="12"/>
        <v>#VALUE!</v>
      </c>
      <c r="C952" t="e">
        <f t="shared" si="13"/>
        <v>#VALUE!</v>
      </c>
      <c r="D952" t="e">
        <f t="shared" si="14"/>
        <v>#VALUE!</v>
      </c>
      <c r="E952" t="e">
        <f t="shared" si="15"/>
        <v>#VALUE!</v>
      </c>
      <c r="F952" t="e">
        <f t="shared" si="16"/>
        <v>#VALUE!</v>
      </c>
      <c r="G952" t="e">
        <f t="shared" si="17"/>
        <v>#VALUE!</v>
      </c>
      <c r="H952" t="e">
        <f t="shared" si="18"/>
        <v>#VALUE!</v>
      </c>
      <c r="I952" t="e">
        <f t="shared" si="19"/>
        <v>#VALUE!</v>
      </c>
      <c r="J952" t="e">
        <f t="shared" si="21"/>
        <v>#VALUE!</v>
      </c>
      <c r="K952" t="e">
        <f t="shared" si="20"/>
        <v>#VALUE!</v>
      </c>
    </row>
    <row r="953" spans="1:11" hidden="1" x14ac:dyDescent="0.25">
      <c r="A953">
        <f t="shared" si="11"/>
        <v>0</v>
      </c>
      <c r="B953" t="e">
        <f t="shared" si="12"/>
        <v>#VALUE!</v>
      </c>
      <c r="C953" t="e">
        <f t="shared" si="13"/>
        <v>#VALUE!</v>
      </c>
      <c r="D953" t="e">
        <f t="shared" si="14"/>
        <v>#VALUE!</v>
      </c>
      <c r="E953" t="e">
        <f t="shared" si="15"/>
        <v>#VALUE!</v>
      </c>
      <c r="F953" t="e">
        <f t="shared" si="16"/>
        <v>#VALUE!</v>
      </c>
      <c r="G953" t="e">
        <f t="shared" si="17"/>
        <v>#VALUE!</v>
      </c>
      <c r="H953" t="e">
        <f t="shared" si="18"/>
        <v>#VALUE!</v>
      </c>
      <c r="I953" t="e">
        <f t="shared" si="19"/>
        <v>#VALUE!</v>
      </c>
      <c r="J953" t="e">
        <f t="shared" si="21"/>
        <v>#VALUE!</v>
      </c>
      <c r="K953" t="e">
        <f t="shared" si="20"/>
        <v>#VALUE!</v>
      </c>
    </row>
    <row r="954" spans="1:11" hidden="1" x14ac:dyDescent="0.25">
      <c r="A954">
        <f t="shared" si="11"/>
        <v>0</v>
      </c>
      <c r="B954" t="e">
        <f t="shared" si="12"/>
        <v>#VALUE!</v>
      </c>
      <c r="C954" t="e">
        <f t="shared" si="13"/>
        <v>#VALUE!</v>
      </c>
      <c r="D954" t="e">
        <f t="shared" si="14"/>
        <v>#VALUE!</v>
      </c>
      <c r="E954" t="e">
        <f t="shared" si="15"/>
        <v>#VALUE!</v>
      </c>
      <c r="F954" t="e">
        <f t="shared" si="16"/>
        <v>#VALUE!</v>
      </c>
      <c r="G954" t="e">
        <f t="shared" si="17"/>
        <v>#VALUE!</v>
      </c>
      <c r="H954" t="e">
        <f t="shared" si="18"/>
        <v>#VALUE!</v>
      </c>
      <c r="I954" t="e">
        <f t="shared" si="19"/>
        <v>#VALUE!</v>
      </c>
      <c r="J954" t="e">
        <f t="shared" si="21"/>
        <v>#VALUE!</v>
      </c>
      <c r="K954" t="e">
        <f t="shared" si="20"/>
        <v>#VALUE!</v>
      </c>
    </row>
    <row r="955" spans="1:11" hidden="1" x14ac:dyDescent="0.25">
      <c r="A955">
        <f t="shared" si="11"/>
        <v>0</v>
      </c>
      <c r="B955" t="e">
        <f t="shared" si="12"/>
        <v>#VALUE!</v>
      </c>
      <c r="C955" t="e">
        <f t="shared" si="13"/>
        <v>#VALUE!</v>
      </c>
      <c r="D955" t="e">
        <f t="shared" si="14"/>
        <v>#VALUE!</v>
      </c>
      <c r="E955" t="e">
        <f t="shared" si="15"/>
        <v>#VALUE!</v>
      </c>
      <c r="F955" t="e">
        <f t="shared" si="16"/>
        <v>#VALUE!</v>
      </c>
      <c r="G955" t="e">
        <f t="shared" si="17"/>
        <v>#VALUE!</v>
      </c>
      <c r="H955" t="e">
        <f t="shared" si="18"/>
        <v>#VALUE!</v>
      </c>
      <c r="I955" t="e">
        <f t="shared" si="19"/>
        <v>#VALUE!</v>
      </c>
      <c r="J955" t="e">
        <f t="shared" si="21"/>
        <v>#VALUE!</v>
      </c>
      <c r="K955" t="e">
        <f t="shared" si="20"/>
        <v>#VALUE!</v>
      </c>
    </row>
    <row r="956" spans="1:11" hidden="1" x14ac:dyDescent="0.25">
      <c r="A956">
        <f t="shared" si="11"/>
        <v>0</v>
      </c>
      <c r="B956" t="e">
        <f t="shared" si="12"/>
        <v>#VALUE!</v>
      </c>
      <c r="C956" t="e">
        <f t="shared" si="13"/>
        <v>#VALUE!</v>
      </c>
      <c r="D956" t="e">
        <f t="shared" si="14"/>
        <v>#VALUE!</v>
      </c>
      <c r="E956" t="e">
        <f t="shared" si="15"/>
        <v>#VALUE!</v>
      </c>
      <c r="F956" t="e">
        <f t="shared" si="16"/>
        <v>#VALUE!</v>
      </c>
      <c r="G956" t="e">
        <f t="shared" si="17"/>
        <v>#VALUE!</v>
      </c>
      <c r="H956" t="e">
        <f t="shared" si="18"/>
        <v>#VALUE!</v>
      </c>
      <c r="I956" t="e">
        <f t="shared" si="19"/>
        <v>#VALUE!</v>
      </c>
      <c r="J956" t="e">
        <f t="shared" si="21"/>
        <v>#VALUE!</v>
      </c>
      <c r="K956" t="e">
        <f t="shared" si="20"/>
        <v>#VALUE!</v>
      </c>
    </row>
    <row r="957" spans="1:11" hidden="1" x14ac:dyDescent="0.25">
      <c r="A957">
        <f t="shared" si="11"/>
        <v>0</v>
      </c>
      <c r="B957" t="e">
        <f t="shared" si="12"/>
        <v>#VALUE!</v>
      </c>
      <c r="C957" t="e">
        <f t="shared" si="13"/>
        <v>#VALUE!</v>
      </c>
      <c r="D957" t="e">
        <f t="shared" si="14"/>
        <v>#VALUE!</v>
      </c>
      <c r="E957" t="e">
        <f t="shared" si="15"/>
        <v>#VALUE!</v>
      </c>
      <c r="F957" t="e">
        <f t="shared" si="16"/>
        <v>#VALUE!</v>
      </c>
      <c r="G957" t="e">
        <f t="shared" si="17"/>
        <v>#VALUE!</v>
      </c>
      <c r="H957" t="e">
        <f t="shared" si="18"/>
        <v>#VALUE!</v>
      </c>
      <c r="I957" t="e">
        <f t="shared" si="19"/>
        <v>#VALUE!</v>
      </c>
      <c r="J957" t="e">
        <f t="shared" si="21"/>
        <v>#VALUE!</v>
      </c>
      <c r="K957" t="e">
        <f t="shared" si="20"/>
        <v>#VALUE!</v>
      </c>
    </row>
    <row r="958" spans="1:11" hidden="1" x14ac:dyDescent="0.25">
      <c r="A958">
        <f t="shared" si="11"/>
        <v>0</v>
      </c>
      <c r="B958" t="e">
        <f t="shared" si="12"/>
        <v>#VALUE!</v>
      </c>
      <c r="C958" t="e">
        <f t="shared" si="13"/>
        <v>#VALUE!</v>
      </c>
      <c r="D958" t="e">
        <f t="shared" si="14"/>
        <v>#VALUE!</v>
      </c>
      <c r="E958" t="e">
        <f t="shared" si="15"/>
        <v>#VALUE!</v>
      </c>
      <c r="F958" t="e">
        <f t="shared" si="16"/>
        <v>#VALUE!</v>
      </c>
      <c r="G958" t="e">
        <f t="shared" si="17"/>
        <v>#VALUE!</v>
      </c>
      <c r="H958" t="e">
        <f t="shared" si="18"/>
        <v>#VALUE!</v>
      </c>
      <c r="I958" t="e">
        <f t="shared" si="19"/>
        <v>#VALUE!</v>
      </c>
      <c r="J958" t="e">
        <f t="shared" si="21"/>
        <v>#VALUE!</v>
      </c>
      <c r="K958" t="e">
        <f t="shared" si="20"/>
        <v>#VALUE!</v>
      </c>
    </row>
    <row r="959" spans="1:11" hidden="1" x14ac:dyDescent="0.25">
      <c r="A959">
        <f t="shared" si="11"/>
        <v>0</v>
      </c>
      <c r="B959" t="e">
        <f t="shared" si="12"/>
        <v>#VALUE!</v>
      </c>
      <c r="C959" t="e">
        <f t="shared" si="13"/>
        <v>#VALUE!</v>
      </c>
      <c r="D959" t="e">
        <f t="shared" si="14"/>
        <v>#VALUE!</v>
      </c>
      <c r="E959" t="e">
        <f t="shared" si="15"/>
        <v>#VALUE!</v>
      </c>
      <c r="F959" t="e">
        <f t="shared" si="16"/>
        <v>#VALUE!</v>
      </c>
      <c r="G959" t="e">
        <f t="shared" si="17"/>
        <v>#VALUE!</v>
      </c>
      <c r="H959" t="e">
        <f t="shared" si="18"/>
        <v>#VALUE!</v>
      </c>
      <c r="I959" t="e">
        <f t="shared" si="19"/>
        <v>#VALUE!</v>
      </c>
      <c r="J959" t="e">
        <f t="shared" si="21"/>
        <v>#VALUE!</v>
      </c>
      <c r="K959" t="e">
        <f t="shared" si="20"/>
        <v>#VALUE!</v>
      </c>
    </row>
    <row r="960" spans="1:11" hidden="1" x14ac:dyDescent="0.25">
      <c r="A960">
        <f t="shared" si="11"/>
        <v>0</v>
      </c>
      <c r="B960" t="e">
        <f t="shared" si="12"/>
        <v>#VALUE!</v>
      </c>
      <c r="C960" t="e">
        <f t="shared" si="13"/>
        <v>#VALUE!</v>
      </c>
      <c r="D960" t="e">
        <f t="shared" si="14"/>
        <v>#VALUE!</v>
      </c>
      <c r="E960" t="e">
        <f t="shared" si="15"/>
        <v>#VALUE!</v>
      </c>
      <c r="F960" t="e">
        <f t="shared" si="16"/>
        <v>#VALUE!</v>
      </c>
      <c r="G960" t="e">
        <f t="shared" si="17"/>
        <v>#VALUE!</v>
      </c>
      <c r="H960" t="e">
        <f t="shared" si="18"/>
        <v>#VALUE!</v>
      </c>
      <c r="I960" t="e">
        <f t="shared" si="19"/>
        <v>#VALUE!</v>
      </c>
      <c r="J960" t="e">
        <f t="shared" si="21"/>
        <v>#VALUE!</v>
      </c>
      <c r="K960" t="e">
        <f t="shared" si="20"/>
        <v>#VALUE!</v>
      </c>
    </row>
    <row r="961" spans="1:11" hidden="1" x14ac:dyDescent="0.25">
      <c r="A961">
        <f t="shared" si="11"/>
        <v>0</v>
      </c>
      <c r="B961" t="e">
        <f t="shared" si="12"/>
        <v>#VALUE!</v>
      </c>
      <c r="C961" t="e">
        <f t="shared" si="13"/>
        <v>#VALUE!</v>
      </c>
      <c r="D961" t="e">
        <f t="shared" si="14"/>
        <v>#VALUE!</v>
      </c>
      <c r="E961" t="e">
        <f t="shared" si="15"/>
        <v>#VALUE!</v>
      </c>
      <c r="F961" t="e">
        <f t="shared" si="16"/>
        <v>#VALUE!</v>
      </c>
      <c r="G961" t="e">
        <f t="shared" si="17"/>
        <v>#VALUE!</v>
      </c>
      <c r="H961" t="e">
        <f t="shared" si="18"/>
        <v>#VALUE!</v>
      </c>
      <c r="I961" t="e">
        <f t="shared" si="19"/>
        <v>#VALUE!</v>
      </c>
      <c r="J961" t="e">
        <f t="shared" si="21"/>
        <v>#VALUE!</v>
      </c>
      <c r="K961" t="e">
        <f t="shared" si="20"/>
        <v>#VALUE!</v>
      </c>
    </row>
    <row r="962" spans="1:11" hidden="1" x14ac:dyDescent="0.25">
      <c r="A962">
        <f t="shared" si="11"/>
        <v>0</v>
      </c>
      <c r="B962" t="e">
        <f t="shared" si="12"/>
        <v>#VALUE!</v>
      </c>
      <c r="C962" t="e">
        <f t="shared" si="13"/>
        <v>#VALUE!</v>
      </c>
      <c r="D962" t="e">
        <f t="shared" si="14"/>
        <v>#VALUE!</v>
      </c>
      <c r="E962" t="e">
        <f t="shared" si="15"/>
        <v>#VALUE!</v>
      </c>
      <c r="F962" t="e">
        <f t="shared" si="16"/>
        <v>#VALUE!</v>
      </c>
      <c r="G962" t="e">
        <f t="shared" si="17"/>
        <v>#VALUE!</v>
      </c>
      <c r="H962" t="e">
        <f t="shared" si="18"/>
        <v>#VALUE!</v>
      </c>
      <c r="I962" t="e">
        <f t="shared" si="19"/>
        <v>#VALUE!</v>
      </c>
      <c r="J962" t="e">
        <f t="shared" si="21"/>
        <v>#VALUE!</v>
      </c>
      <c r="K962" t="e">
        <f t="shared" si="20"/>
        <v>#VALUE!</v>
      </c>
    </row>
    <row r="963" spans="1:11" hidden="1" x14ac:dyDescent="0.25">
      <c r="A963">
        <f t="shared" si="11"/>
        <v>0</v>
      </c>
      <c r="B963" t="e">
        <f t="shared" si="12"/>
        <v>#VALUE!</v>
      </c>
      <c r="C963" t="e">
        <f t="shared" si="13"/>
        <v>#VALUE!</v>
      </c>
      <c r="D963" t="e">
        <f t="shared" si="14"/>
        <v>#VALUE!</v>
      </c>
      <c r="E963" t="e">
        <f t="shared" si="15"/>
        <v>#VALUE!</v>
      </c>
      <c r="F963" t="e">
        <f t="shared" si="16"/>
        <v>#VALUE!</v>
      </c>
      <c r="G963" t="e">
        <f t="shared" si="17"/>
        <v>#VALUE!</v>
      </c>
      <c r="H963" t="e">
        <f t="shared" si="18"/>
        <v>#VALUE!</v>
      </c>
      <c r="I963" t="e">
        <f t="shared" si="19"/>
        <v>#VALUE!</v>
      </c>
      <c r="J963" t="e">
        <f t="shared" si="21"/>
        <v>#VALUE!</v>
      </c>
      <c r="K963" t="e">
        <f t="shared" si="20"/>
        <v>#VALUE!</v>
      </c>
    </row>
    <row r="964" spans="1:11" hidden="1" x14ac:dyDescent="0.25">
      <c r="A964">
        <f t="shared" si="11"/>
        <v>0</v>
      </c>
      <c r="B964" t="e">
        <f t="shared" si="12"/>
        <v>#VALUE!</v>
      </c>
      <c r="C964" t="e">
        <f t="shared" si="13"/>
        <v>#VALUE!</v>
      </c>
      <c r="D964" t="e">
        <f t="shared" si="14"/>
        <v>#VALUE!</v>
      </c>
      <c r="E964" t="e">
        <f t="shared" si="15"/>
        <v>#VALUE!</v>
      </c>
      <c r="F964" t="e">
        <f t="shared" si="16"/>
        <v>#VALUE!</v>
      </c>
      <c r="G964" t="e">
        <f t="shared" si="17"/>
        <v>#VALUE!</v>
      </c>
      <c r="H964" t="e">
        <f t="shared" si="18"/>
        <v>#VALUE!</v>
      </c>
      <c r="I964" t="e">
        <f t="shared" si="19"/>
        <v>#VALUE!</v>
      </c>
      <c r="J964" t="e">
        <f t="shared" si="21"/>
        <v>#VALUE!</v>
      </c>
      <c r="K964" t="e">
        <f t="shared" si="20"/>
        <v>#VALUE!</v>
      </c>
    </row>
    <row r="965" spans="1:11" hidden="1" x14ac:dyDescent="0.25">
      <c r="A965">
        <f t="shared" si="11"/>
        <v>0</v>
      </c>
      <c r="B965" t="e">
        <f t="shared" si="12"/>
        <v>#VALUE!</v>
      </c>
      <c r="C965" t="e">
        <f t="shared" si="13"/>
        <v>#VALUE!</v>
      </c>
      <c r="D965" t="e">
        <f t="shared" si="14"/>
        <v>#VALUE!</v>
      </c>
      <c r="E965" t="e">
        <f t="shared" si="15"/>
        <v>#VALUE!</v>
      </c>
      <c r="F965" t="e">
        <f t="shared" si="16"/>
        <v>#VALUE!</v>
      </c>
      <c r="G965" t="e">
        <f t="shared" si="17"/>
        <v>#VALUE!</v>
      </c>
      <c r="H965" t="e">
        <f t="shared" si="18"/>
        <v>#VALUE!</v>
      </c>
      <c r="I965" t="e">
        <f t="shared" si="19"/>
        <v>#VALUE!</v>
      </c>
      <c r="J965" t="e">
        <f t="shared" si="21"/>
        <v>#VALUE!</v>
      </c>
      <c r="K965" t="e">
        <f t="shared" si="20"/>
        <v>#VALUE!</v>
      </c>
    </row>
    <row r="966" spans="1:11" hidden="1" x14ac:dyDescent="0.25">
      <c r="A966">
        <f t="shared" si="11"/>
        <v>0</v>
      </c>
      <c r="B966" t="e">
        <f t="shared" si="12"/>
        <v>#VALUE!</v>
      </c>
      <c r="C966" t="e">
        <f t="shared" si="13"/>
        <v>#VALUE!</v>
      </c>
      <c r="D966" t="e">
        <f t="shared" si="14"/>
        <v>#VALUE!</v>
      </c>
      <c r="E966" t="e">
        <f t="shared" si="15"/>
        <v>#VALUE!</v>
      </c>
      <c r="F966" t="e">
        <f t="shared" si="16"/>
        <v>#VALUE!</v>
      </c>
      <c r="G966" t="e">
        <f t="shared" si="17"/>
        <v>#VALUE!</v>
      </c>
      <c r="H966" t="e">
        <f t="shared" si="18"/>
        <v>#VALUE!</v>
      </c>
      <c r="I966" t="e">
        <f t="shared" si="19"/>
        <v>#VALUE!</v>
      </c>
      <c r="J966" t="e">
        <f t="shared" si="21"/>
        <v>#VALUE!</v>
      </c>
      <c r="K966" t="e">
        <f t="shared" si="20"/>
        <v>#VALUE!</v>
      </c>
    </row>
    <row r="967" spans="1:11" hidden="1" x14ac:dyDescent="0.25">
      <c r="A967">
        <f t="shared" si="11"/>
        <v>0</v>
      </c>
      <c r="B967" t="e">
        <f t="shared" si="12"/>
        <v>#VALUE!</v>
      </c>
      <c r="C967" t="e">
        <f t="shared" si="13"/>
        <v>#VALUE!</v>
      </c>
      <c r="D967" t="e">
        <f t="shared" si="14"/>
        <v>#VALUE!</v>
      </c>
      <c r="E967" t="e">
        <f t="shared" si="15"/>
        <v>#VALUE!</v>
      </c>
      <c r="F967" t="e">
        <f t="shared" si="16"/>
        <v>#VALUE!</v>
      </c>
      <c r="G967" t="e">
        <f t="shared" si="17"/>
        <v>#VALUE!</v>
      </c>
      <c r="H967" t="e">
        <f t="shared" si="18"/>
        <v>#VALUE!</v>
      </c>
      <c r="I967" t="e">
        <f t="shared" si="19"/>
        <v>#VALUE!</v>
      </c>
      <c r="J967" t="e">
        <f t="shared" si="21"/>
        <v>#VALUE!</v>
      </c>
      <c r="K967" t="e">
        <f t="shared" si="20"/>
        <v>#VALUE!</v>
      </c>
    </row>
    <row r="968" spans="1:11" hidden="1" x14ac:dyDescent="0.25">
      <c r="A968">
        <f t="shared" si="11"/>
        <v>0</v>
      </c>
      <c r="B968" t="e">
        <f t="shared" si="12"/>
        <v>#VALUE!</v>
      </c>
      <c r="C968" t="e">
        <f t="shared" si="13"/>
        <v>#VALUE!</v>
      </c>
      <c r="D968" t="e">
        <f t="shared" si="14"/>
        <v>#VALUE!</v>
      </c>
      <c r="E968" t="e">
        <f t="shared" si="15"/>
        <v>#VALUE!</v>
      </c>
      <c r="F968" t="e">
        <f t="shared" si="16"/>
        <v>#VALUE!</v>
      </c>
      <c r="G968" t="e">
        <f t="shared" si="17"/>
        <v>#VALUE!</v>
      </c>
      <c r="H968" t="e">
        <f t="shared" si="18"/>
        <v>#VALUE!</v>
      </c>
      <c r="I968" t="e">
        <f t="shared" si="19"/>
        <v>#VALUE!</v>
      </c>
      <c r="J968" t="e">
        <f t="shared" si="21"/>
        <v>#VALUE!</v>
      </c>
      <c r="K968" t="e">
        <f t="shared" si="20"/>
        <v>#VALUE!</v>
      </c>
    </row>
    <row r="969" spans="1:11" hidden="1" x14ac:dyDescent="0.25">
      <c r="A969">
        <f t="shared" si="11"/>
        <v>0</v>
      </c>
      <c r="B969" t="e">
        <f t="shared" si="12"/>
        <v>#VALUE!</v>
      </c>
      <c r="C969" t="e">
        <f t="shared" si="13"/>
        <v>#VALUE!</v>
      </c>
      <c r="D969" t="e">
        <f t="shared" si="14"/>
        <v>#VALUE!</v>
      </c>
      <c r="E969" t="e">
        <f t="shared" si="15"/>
        <v>#VALUE!</v>
      </c>
      <c r="F969" t="e">
        <f t="shared" si="16"/>
        <v>#VALUE!</v>
      </c>
      <c r="G969" t="e">
        <f t="shared" si="17"/>
        <v>#VALUE!</v>
      </c>
      <c r="H969" t="e">
        <f t="shared" si="18"/>
        <v>#VALUE!</v>
      </c>
      <c r="I969" t="e">
        <f t="shared" si="19"/>
        <v>#VALUE!</v>
      </c>
      <c r="J969" t="e">
        <f t="shared" si="21"/>
        <v>#VALUE!</v>
      </c>
      <c r="K969" t="e">
        <f t="shared" si="20"/>
        <v>#VALUE!</v>
      </c>
    </row>
    <row r="970" spans="1:11" hidden="1" x14ac:dyDescent="0.25">
      <c r="A970">
        <f t="shared" si="11"/>
        <v>0</v>
      </c>
      <c r="B970" t="e">
        <f t="shared" si="12"/>
        <v>#VALUE!</v>
      </c>
      <c r="C970" t="e">
        <f t="shared" si="13"/>
        <v>#VALUE!</v>
      </c>
      <c r="D970" t="e">
        <f t="shared" si="14"/>
        <v>#VALUE!</v>
      </c>
      <c r="E970" t="e">
        <f t="shared" si="15"/>
        <v>#VALUE!</v>
      </c>
      <c r="F970" t="e">
        <f t="shared" si="16"/>
        <v>#VALUE!</v>
      </c>
      <c r="G970" t="e">
        <f t="shared" si="17"/>
        <v>#VALUE!</v>
      </c>
      <c r="H970" t="e">
        <f t="shared" si="18"/>
        <v>#VALUE!</v>
      </c>
      <c r="I970" t="e">
        <f t="shared" si="19"/>
        <v>#VALUE!</v>
      </c>
      <c r="J970" t="e">
        <f t="shared" si="21"/>
        <v>#VALUE!</v>
      </c>
      <c r="K970" t="e">
        <f t="shared" si="20"/>
        <v>#VALUE!</v>
      </c>
    </row>
    <row r="971" spans="1:11" hidden="1" x14ac:dyDescent="0.25">
      <c r="A971">
        <f t="shared" si="11"/>
        <v>0</v>
      </c>
      <c r="B971" t="e">
        <f t="shared" si="12"/>
        <v>#VALUE!</v>
      </c>
      <c r="C971" t="e">
        <f t="shared" si="13"/>
        <v>#VALUE!</v>
      </c>
      <c r="D971" t="e">
        <f t="shared" si="14"/>
        <v>#VALUE!</v>
      </c>
      <c r="E971" t="e">
        <f t="shared" si="15"/>
        <v>#VALUE!</v>
      </c>
      <c r="F971" t="e">
        <f t="shared" si="16"/>
        <v>#VALUE!</v>
      </c>
      <c r="G971" t="e">
        <f t="shared" si="17"/>
        <v>#VALUE!</v>
      </c>
      <c r="H971" t="e">
        <f t="shared" si="18"/>
        <v>#VALUE!</v>
      </c>
      <c r="I971" t="e">
        <f t="shared" si="19"/>
        <v>#VALUE!</v>
      </c>
      <c r="J971" t="e">
        <f t="shared" si="21"/>
        <v>#VALUE!</v>
      </c>
      <c r="K971" t="e">
        <f t="shared" si="20"/>
        <v>#VALUE!</v>
      </c>
    </row>
    <row r="972" spans="1:11" hidden="1" x14ac:dyDescent="0.25">
      <c r="A972">
        <f t="shared" si="11"/>
        <v>0</v>
      </c>
      <c r="B972" t="e">
        <f t="shared" si="12"/>
        <v>#VALUE!</v>
      </c>
      <c r="C972" t="e">
        <f t="shared" si="13"/>
        <v>#VALUE!</v>
      </c>
      <c r="D972" t="e">
        <f t="shared" si="14"/>
        <v>#VALUE!</v>
      </c>
      <c r="E972" t="e">
        <f t="shared" si="15"/>
        <v>#VALUE!</v>
      </c>
      <c r="F972" t="e">
        <f t="shared" si="16"/>
        <v>#VALUE!</v>
      </c>
      <c r="G972" t="e">
        <f t="shared" si="17"/>
        <v>#VALUE!</v>
      </c>
      <c r="H972" t="e">
        <f t="shared" si="18"/>
        <v>#VALUE!</v>
      </c>
      <c r="I972" t="e">
        <f t="shared" si="19"/>
        <v>#VALUE!</v>
      </c>
      <c r="J972" t="e">
        <f t="shared" si="21"/>
        <v>#VALUE!</v>
      </c>
      <c r="K972" t="e">
        <f t="shared" si="20"/>
        <v>#VALUE!</v>
      </c>
    </row>
    <row r="973" spans="1:11" hidden="1" x14ac:dyDescent="0.25">
      <c r="A973">
        <f t="shared" si="11"/>
        <v>0</v>
      </c>
      <c r="B973" t="e">
        <f t="shared" si="12"/>
        <v>#VALUE!</v>
      </c>
      <c r="C973" t="e">
        <f t="shared" si="13"/>
        <v>#VALUE!</v>
      </c>
      <c r="D973" t="e">
        <f t="shared" si="14"/>
        <v>#VALUE!</v>
      </c>
      <c r="E973" t="e">
        <f t="shared" si="15"/>
        <v>#VALUE!</v>
      </c>
      <c r="F973" t="e">
        <f t="shared" si="16"/>
        <v>#VALUE!</v>
      </c>
      <c r="G973" t="e">
        <f t="shared" si="17"/>
        <v>#VALUE!</v>
      </c>
      <c r="H973" t="e">
        <f t="shared" si="18"/>
        <v>#VALUE!</v>
      </c>
      <c r="I973" t="e">
        <f t="shared" si="19"/>
        <v>#VALUE!</v>
      </c>
      <c r="J973" t="e">
        <f t="shared" si="21"/>
        <v>#VALUE!</v>
      </c>
      <c r="K973" t="e">
        <f t="shared" si="20"/>
        <v>#VALUE!</v>
      </c>
    </row>
    <row r="974" spans="1:11" hidden="1" x14ac:dyDescent="0.25">
      <c r="A974">
        <f t="shared" si="11"/>
        <v>0</v>
      </c>
      <c r="B974" t="e">
        <f t="shared" si="12"/>
        <v>#VALUE!</v>
      </c>
      <c r="C974" t="e">
        <f t="shared" si="13"/>
        <v>#VALUE!</v>
      </c>
      <c r="D974" t="e">
        <f t="shared" si="14"/>
        <v>#VALUE!</v>
      </c>
      <c r="E974" t="e">
        <f t="shared" si="15"/>
        <v>#VALUE!</v>
      </c>
      <c r="F974" t="e">
        <f t="shared" si="16"/>
        <v>#VALUE!</v>
      </c>
      <c r="G974" t="e">
        <f t="shared" si="17"/>
        <v>#VALUE!</v>
      </c>
      <c r="H974" t="e">
        <f t="shared" si="18"/>
        <v>#VALUE!</v>
      </c>
      <c r="I974" t="e">
        <f t="shared" si="19"/>
        <v>#VALUE!</v>
      </c>
      <c r="J974" t="e">
        <f t="shared" si="21"/>
        <v>#VALUE!</v>
      </c>
      <c r="K974" t="e">
        <f t="shared" si="20"/>
        <v>#VALUE!</v>
      </c>
    </row>
    <row r="975" spans="1:11" hidden="1" x14ac:dyDescent="0.25">
      <c r="A975">
        <f t="shared" si="11"/>
        <v>0</v>
      </c>
      <c r="B975" t="e">
        <f t="shared" si="12"/>
        <v>#VALUE!</v>
      </c>
      <c r="C975" t="e">
        <f t="shared" si="13"/>
        <v>#VALUE!</v>
      </c>
      <c r="D975" t="e">
        <f t="shared" si="14"/>
        <v>#VALUE!</v>
      </c>
      <c r="E975" t="e">
        <f t="shared" si="15"/>
        <v>#VALUE!</v>
      </c>
      <c r="F975" t="e">
        <f t="shared" si="16"/>
        <v>#VALUE!</v>
      </c>
      <c r="G975" t="e">
        <f t="shared" si="17"/>
        <v>#VALUE!</v>
      </c>
      <c r="H975" t="e">
        <f t="shared" si="18"/>
        <v>#VALUE!</v>
      </c>
      <c r="I975" t="e">
        <f t="shared" si="19"/>
        <v>#VALUE!</v>
      </c>
      <c r="J975" t="e">
        <f t="shared" si="21"/>
        <v>#VALUE!</v>
      </c>
      <c r="K975" t="e">
        <f t="shared" si="20"/>
        <v>#VALUE!</v>
      </c>
    </row>
    <row r="976" spans="1:11" hidden="1" x14ac:dyDescent="0.25">
      <c r="A976">
        <f t="shared" si="11"/>
        <v>0</v>
      </c>
      <c r="B976" t="e">
        <f t="shared" si="12"/>
        <v>#VALUE!</v>
      </c>
      <c r="C976" t="e">
        <f t="shared" si="13"/>
        <v>#VALUE!</v>
      </c>
      <c r="D976" t="e">
        <f t="shared" si="14"/>
        <v>#VALUE!</v>
      </c>
      <c r="E976" t="e">
        <f t="shared" si="15"/>
        <v>#VALUE!</v>
      </c>
      <c r="F976" t="e">
        <f t="shared" si="16"/>
        <v>#VALUE!</v>
      </c>
      <c r="G976" t="e">
        <f t="shared" si="17"/>
        <v>#VALUE!</v>
      </c>
      <c r="H976" t="e">
        <f t="shared" si="18"/>
        <v>#VALUE!</v>
      </c>
      <c r="I976" t="e">
        <f t="shared" si="19"/>
        <v>#VALUE!</v>
      </c>
      <c r="J976" t="e">
        <f t="shared" si="21"/>
        <v>#VALUE!</v>
      </c>
      <c r="K976" t="e">
        <f t="shared" si="20"/>
        <v>#VALUE!</v>
      </c>
    </row>
    <row r="977" spans="1:11" hidden="1" x14ac:dyDescent="0.25">
      <c r="A977">
        <f t="shared" si="11"/>
        <v>0</v>
      </c>
      <c r="B977" t="e">
        <f t="shared" si="12"/>
        <v>#VALUE!</v>
      </c>
      <c r="C977" t="e">
        <f t="shared" si="13"/>
        <v>#VALUE!</v>
      </c>
      <c r="D977" t="e">
        <f t="shared" si="14"/>
        <v>#VALUE!</v>
      </c>
      <c r="E977" t="e">
        <f t="shared" si="15"/>
        <v>#VALUE!</v>
      </c>
      <c r="F977" t="e">
        <f t="shared" si="16"/>
        <v>#VALUE!</v>
      </c>
      <c r="G977" t="e">
        <f t="shared" si="17"/>
        <v>#VALUE!</v>
      </c>
      <c r="H977" t="e">
        <f t="shared" si="18"/>
        <v>#VALUE!</v>
      </c>
      <c r="I977" t="e">
        <f t="shared" si="19"/>
        <v>#VALUE!</v>
      </c>
      <c r="J977" t="e">
        <f t="shared" si="21"/>
        <v>#VALUE!</v>
      </c>
      <c r="K977" t="e">
        <f t="shared" si="20"/>
        <v>#VALUE!</v>
      </c>
    </row>
    <row r="978" spans="1:11" hidden="1" x14ac:dyDescent="0.25">
      <c r="A978">
        <f t="shared" si="11"/>
        <v>0</v>
      </c>
      <c r="B978" t="e">
        <f t="shared" si="12"/>
        <v>#VALUE!</v>
      </c>
      <c r="C978" t="e">
        <f t="shared" si="13"/>
        <v>#VALUE!</v>
      </c>
      <c r="D978" t="e">
        <f t="shared" si="14"/>
        <v>#VALUE!</v>
      </c>
      <c r="E978" t="e">
        <f t="shared" si="15"/>
        <v>#VALUE!</v>
      </c>
      <c r="F978" t="e">
        <f t="shared" si="16"/>
        <v>#VALUE!</v>
      </c>
      <c r="G978" t="e">
        <f t="shared" si="17"/>
        <v>#VALUE!</v>
      </c>
      <c r="H978" t="e">
        <f t="shared" si="18"/>
        <v>#VALUE!</v>
      </c>
      <c r="I978" t="e">
        <f t="shared" si="19"/>
        <v>#VALUE!</v>
      </c>
      <c r="J978" t="e">
        <f t="shared" si="21"/>
        <v>#VALUE!</v>
      </c>
      <c r="K978" t="e">
        <f t="shared" si="20"/>
        <v>#VALUE!</v>
      </c>
    </row>
    <row r="979" spans="1:11" hidden="1" x14ac:dyDescent="0.25">
      <c r="A979">
        <f t="shared" si="11"/>
        <v>0</v>
      </c>
      <c r="B979" t="e">
        <f t="shared" si="12"/>
        <v>#VALUE!</v>
      </c>
      <c r="C979" t="e">
        <f t="shared" si="13"/>
        <v>#VALUE!</v>
      </c>
      <c r="D979" t="e">
        <f t="shared" si="14"/>
        <v>#VALUE!</v>
      </c>
      <c r="E979" t="e">
        <f t="shared" si="15"/>
        <v>#VALUE!</v>
      </c>
      <c r="F979" t="e">
        <f t="shared" si="16"/>
        <v>#VALUE!</v>
      </c>
      <c r="G979" t="e">
        <f t="shared" si="17"/>
        <v>#VALUE!</v>
      </c>
      <c r="H979" t="e">
        <f t="shared" si="18"/>
        <v>#VALUE!</v>
      </c>
      <c r="I979" t="e">
        <f t="shared" si="19"/>
        <v>#VALUE!</v>
      </c>
      <c r="J979" t="e">
        <f t="shared" si="21"/>
        <v>#VALUE!</v>
      </c>
      <c r="K979" t="e">
        <f t="shared" si="20"/>
        <v>#VALUE!</v>
      </c>
    </row>
    <row r="980" spans="1:11" hidden="1" x14ac:dyDescent="0.25">
      <c r="A980">
        <f t="shared" ref="A980:A1043" si="22" xml:space="preserve"> IF(OR(LEFT(B140,1)= "T",LEFT(B140,1)= "G"),4,0)</f>
        <v>0</v>
      </c>
      <c r="B980" t="e">
        <f t="shared" ref="B980:B1043" si="23">MID(B140,2,1)*2</f>
        <v>#VALUE!</v>
      </c>
      <c r="C980" t="e">
        <f t="shared" ref="C980:C1043" si="24">MID(B140,3,1)*7</f>
        <v>#VALUE!</v>
      </c>
      <c r="D980" t="e">
        <f t="shared" ref="D980:D1043" si="25">MID(B140,4,1)*6</f>
        <v>#VALUE!</v>
      </c>
      <c r="E980" t="e">
        <f t="shared" ref="E980:E1043" si="26">MID(B140,5,1)*5</f>
        <v>#VALUE!</v>
      </c>
      <c r="F980" t="e">
        <f t="shared" ref="F980:F1043" si="27">MID(B140,6,1)*4</f>
        <v>#VALUE!</v>
      </c>
      <c r="G980" t="e">
        <f t="shared" ref="G980:G1043" si="28">MID(B140,7,1)*3</f>
        <v>#VALUE!</v>
      </c>
      <c r="H980" t="e">
        <f t="shared" ref="H980:H1043" si="29">MID(B140,8,1)*2</f>
        <v>#VALUE!</v>
      </c>
      <c r="I980" t="e">
        <f t="shared" ref="I980:I1043" si="30">IF(OR(LEFT(B140,1)="T",LEFT(B140,1)="G"),(SUM(B980:H980))+4,SUM(B980:H980))</f>
        <v>#VALUE!</v>
      </c>
      <c r="J980" t="e">
        <f t="shared" si="21"/>
        <v>#VALUE!</v>
      </c>
      <c r="K980" t="e">
        <f t="shared" ref="K980:K1043" si="31" xml:space="preserve"> IF(OR(LEFT(B140,1)= "S",LEFT(B140,1)= "T"),VLOOKUP(J980,$A$826:$B$836,2,FALSE), VLOOKUP(J980,$A$840:$B$850,2,FALSE))</f>
        <v>#VALUE!</v>
      </c>
    </row>
    <row r="981" spans="1:11" hidden="1" x14ac:dyDescent="0.25">
      <c r="A981">
        <f t="shared" si="22"/>
        <v>0</v>
      </c>
      <c r="B981" t="e">
        <f t="shared" si="23"/>
        <v>#VALUE!</v>
      </c>
      <c r="C981" t="e">
        <f t="shared" si="24"/>
        <v>#VALUE!</v>
      </c>
      <c r="D981" t="e">
        <f t="shared" si="25"/>
        <v>#VALUE!</v>
      </c>
      <c r="E981" t="e">
        <f t="shared" si="26"/>
        <v>#VALUE!</v>
      </c>
      <c r="F981" t="e">
        <f t="shared" si="27"/>
        <v>#VALUE!</v>
      </c>
      <c r="G981" t="e">
        <f t="shared" si="28"/>
        <v>#VALUE!</v>
      </c>
      <c r="H981" t="e">
        <f t="shared" si="29"/>
        <v>#VALUE!</v>
      </c>
      <c r="I981" t="e">
        <f t="shared" si="30"/>
        <v>#VALUE!</v>
      </c>
      <c r="J981" t="e">
        <f t="shared" ref="J981:J1044" si="32">MOD(I981,11)</f>
        <v>#VALUE!</v>
      </c>
      <c r="K981" t="e">
        <f t="shared" si="31"/>
        <v>#VALUE!</v>
      </c>
    </row>
    <row r="982" spans="1:11" hidden="1" x14ac:dyDescent="0.25">
      <c r="A982">
        <f t="shared" si="22"/>
        <v>0</v>
      </c>
      <c r="B982" t="e">
        <f t="shared" si="23"/>
        <v>#VALUE!</v>
      </c>
      <c r="C982" t="e">
        <f t="shared" si="24"/>
        <v>#VALUE!</v>
      </c>
      <c r="D982" t="e">
        <f t="shared" si="25"/>
        <v>#VALUE!</v>
      </c>
      <c r="E982" t="e">
        <f t="shared" si="26"/>
        <v>#VALUE!</v>
      </c>
      <c r="F982" t="e">
        <f t="shared" si="27"/>
        <v>#VALUE!</v>
      </c>
      <c r="G982" t="e">
        <f t="shared" si="28"/>
        <v>#VALUE!</v>
      </c>
      <c r="H982" t="e">
        <f t="shared" si="29"/>
        <v>#VALUE!</v>
      </c>
      <c r="I982" t="e">
        <f t="shared" si="30"/>
        <v>#VALUE!</v>
      </c>
      <c r="J982" t="e">
        <f t="shared" si="32"/>
        <v>#VALUE!</v>
      </c>
      <c r="K982" t="e">
        <f t="shared" si="31"/>
        <v>#VALUE!</v>
      </c>
    </row>
    <row r="983" spans="1:11" hidden="1" x14ac:dyDescent="0.25">
      <c r="A983">
        <f t="shared" si="22"/>
        <v>0</v>
      </c>
      <c r="B983" t="e">
        <f t="shared" si="23"/>
        <v>#VALUE!</v>
      </c>
      <c r="C983" t="e">
        <f t="shared" si="24"/>
        <v>#VALUE!</v>
      </c>
      <c r="D983" t="e">
        <f t="shared" si="25"/>
        <v>#VALUE!</v>
      </c>
      <c r="E983" t="e">
        <f t="shared" si="26"/>
        <v>#VALUE!</v>
      </c>
      <c r="F983" t="e">
        <f t="shared" si="27"/>
        <v>#VALUE!</v>
      </c>
      <c r="G983" t="e">
        <f t="shared" si="28"/>
        <v>#VALUE!</v>
      </c>
      <c r="H983" t="e">
        <f t="shared" si="29"/>
        <v>#VALUE!</v>
      </c>
      <c r="I983" t="e">
        <f t="shared" si="30"/>
        <v>#VALUE!</v>
      </c>
      <c r="J983" t="e">
        <f t="shared" si="32"/>
        <v>#VALUE!</v>
      </c>
      <c r="K983" t="e">
        <f t="shared" si="31"/>
        <v>#VALUE!</v>
      </c>
    </row>
    <row r="984" spans="1:11" hidden="1" x14ac:dyDescent="0.25">
      <c r="A984">
        <f t="shared" si="22"/>
        <v>0</v>
      </c>
      <c r="B984" t="e">
        <f t="shared" si="23"/>
        <v>#VALUE!</v>
      </c>
      <c r="C984" t="e">
        <f t="shared" si="24"/>
        <v>#VALUE!</v>
      </c>
      <c r="D984" t="e">
        <f t="shared" si="25"/>
        <v>#VALUE!</v>
      </c>
      <c r="E984" t="e">
        <f t="shared" si="26"/>
        <v>#VALUE!</v>
      </c>
      <c r="F984" t="e">
        <f t="shared" si="27"/>
        <v>#VALUE!</v>
      </c>
      <c r="G984" t="e">
        <f t="shared" si="28"/>
        <v>#VALUE!</v>
      </c>
      <c r="H984" t="e">
        <f t="shared" si="29"/>
        <v>#VALUE!</v>
      </c>
      <c r="I984" t="e">
        <f t="shared" si="30"/>
        <v>#VALUE!</v>
      </c>
      <c r="J984" t="e">
        <f t="shared" si="32"/>
        <v>#VALUE!</v>
      </c>
      <c r="K984" t="e">
        <f t="shared" si="31"/>
        <v>#VALUE!</v>
      </c>
    </row>
    <row r="985" spans="1:11" hidden="1" x14ac:dyDescent="0.25">
      <c r="A985">
        <f t="shared" si="22"/>
        <v>0</v>
      </c>
      <c r="B985" t="e">
        <f t="shared" si="23"/>
        <v>#VALUE!</v>
      </c>
      <c r="C985" t="e">
        <f t="shared" si="24"/>
        <v>#VALUE!</v>
      </c>
      <c r="D985" t="e">
        <f t="shared" si="25"/>
        <v>#VALUE!</v>
      </c>
      <c r="E985" t="e">
        <f t="shared" si="26"/>
        <v>#VALUE!</v>
      </c>
      <c r="F985" t="e">
        <f t="shared" si="27"/>
        <v>#VALUE!</v>
      </c>
      <c r="G985" t="e">
        <f t="shared" si="28"/>
        <v>#VALUE!</v>
      </c>
      <c r="H985" t="e">
        <f t="shared" si="29"/>
        <v>#VALUE!</v>
      </c>
      <c r="I985" t="e">
        <f t="shared" si="30"/>
        <v>#VALUE!</v>
      </c>
      <c r="J985" t="e">
        <f t="shared" si="32"/>
        <v>#VALUE!</v>
      </c>
      <c r="K985" t="e">
        <f t="shared" si="31"/>
        <v>#VALUE!</v>
      </c>
    </row>
    <row r="986" spans="1:11" hidden="1" x14ac:dyDescent="0.25">
      <c r="A986">
        <f t="shared" si="22"/>
        <v>0</v>
      </c>
      <c r="B986" t="e">
        <f t="shared" si="23"/>
        <v>#VALUE!</v>
      </c>
      <c r="C986" t="e">
        <f t="shared" si="24"/>
        <v>#VALUE!</v>
      </c>
      <c r="D986" t="e">
        <f t="shared" si="25"/>
        <v>#VALUE!</v>
      </c>
      <c r="E986" t="e">
        <f t="shared" si="26"/>
        <v>#VALUE!</v>
      </c>
      <c r="F986" t="e">
        <f t="shared" si="27"/>
        <v>#VALUE!</v>
      </c>
      <c r="G986" t="e">
        <f t="shared" si="28"/>
        <v>#VALUE!</v>
      </c>
      <c r="H986" t="e">
        <f t="shared" si="29"/>
        <v>#VALUE!</v>
      </c>
      <c r="I986" t="e">
        <f t="shared" si="30"/>
        <v>#VALUE!</v>
      </c>
      <c r="J986" t="e">
        <f t="shared" si="32"/>
        <v>#VALUE!</v>
      </c>
      <c r="K986" t="e">
        <f t="shared" si="31"/>
        <v>#VALUE!</v>
      </c>
    </row>
    <row r="987" spans="1:11" hidden="1" x14ac:dyDescent="0.25">
      <c r="A987">
        <f t="shared" si="22"/>
        <v>0</v>
      </c>
      <c r="B987" t="e">
        <f t="shared" si="23"/>
        <v>#VALUE!</v>
      </c>
      <c r="C987" t="e">
        <f t="shared" si="24"/>
        <v>#VALUE!</v>
      </c>
      <c r="D987" t="e">
        <f t="shared" si="25"/>
        <v>#VALUE!</v>
      </c>
      <c r="E987" t="e">
        <f t="shared" si="26"/>
        <v>#VALUE!</v>
      </c>
      <c r="F987" t="e">
        <f t="shared" si="27"/>
        <v>#VALUE!</v>
      </c>
      <c r="G987" t="e">
        <f t="shared" si="28"/>
        <v>#VALUE!</v>
      </c>
      <c r="H987" t="e">
        <f t="shared" si="29"/>
        <v>#VALUE!</v>
      </c>
      <c r="I987" t="e">
        <f t="shared" si="30"/>
        <v>#VALUE!</v>
      </c>
      <c r="J987" t="e">
        <f t="shared" si="32"/>
        <v>#VALUE!</v>
      </c>
      <c r="K987" t="e">
        <f t="shared" si="31"/>
        <v>#VALUE!</v>
      </c>
    </row>
    <row r="988" spans="1:11" hidden="1" x14ac:dyDescent="0.25">
      <c r="A988">
        <f t="shared" si="22"/>
        <v>0</v>
      </c>
      <c r="B988" t="e">
        <f t="shared" si="23"/>
        <v>#VALUE!</v>
      </c>
      <c r="C988" t="e">
        <f t="shared" si="24"/>
        <v>#VALUE!</v>
      </c>
      <c r="D988" t="e">
        <f t="shared" si="25"/>
        <v>#VALUE!</v>
      </c>
      <c r="E988" t="e">
        <f t="shared" si="26"/>
        <v>#VALUE!</v>
      </c>
      <c r="F988" t="e">
        <f t="shared" si="27"/>
        <v>#VALUE!</v>
      </c>
      <c r="G988" t="e">
        <f t="shared" si="28"/>
        <v>#VALUE!</v>
      </c>
      <c r="H988" t="e">
        <f t="shared" si="29"/>
        <v>#VALUE!</v>
      </c>
      <c r="I988" t="e">
        <f t="shared" si="30"/>
        <v>#VALUE!</v>
      </c>
      <c r="J988" t="e">
        <f t="shared" si="32"/>
        <v>#VALUE!</v>
      </c>
      <c r="K988" t="e">
        <f t="shared" si="31"/>
        <v>#VALUE!</v>
      </c>
    </row>
    <row r="989" spans="1:11" hidden="1" x14ac:dyDescent="0.25">
      <c r="A989">
        <f t="shared" si="22"/>
        <v>0</v>
      </c>
      <c r="B989" t="e">
        <f t="shared" si="23"/>
        <v>#VALUE!</v>
      </c>
      <c r="C989" t="e">
        <f t="shared" si="24"/>
        <v>#VALUE!</v>
      </c>
      <c r="D989" t="e">
        <f t="shared" si="25"/>
        <v>#VALUE!</v>
      </c>
      <c r="E989" t="e">
        <f t="shared" si="26"/>
        <v>#VALUE!</v>
      </c>
      <c r="F989" t="e">
        <f t="shared" si="27"/>
        <v>#VALUE!</v>
      </c>
      <c r="G989" t="e">
        <f t="shared" si="28"/>
        <v>#VALUE!</v>
      </c>
      <c r="H989" t="e">
        <f t="shared" si="29"/>
        <v>#VALUE!</v>
      </c>
      <c r="I989" t="e">
        <f t="shared" si="30"/>
        <v>#VALUE!</v>
      </c>
      <c r="J989" t="e">
        <f t="shared" si="32"/>
        <v>#VALUE!</v>
      </c>
      <c r="K989" t="e">
        <f t="shared" si="31"/>
        <v>#VALUE!</v>
      </c>
    </row>
    <row r="990" spans="1:11" hidden="1" x14ac:dyDescent="0.25">
      <c r="A990">
        <f t="shared" si="22"/>
        <v>0</v>
      </c>
      <c r="B990" t="e">
        <f t="shared" si="23"/>
        <v>#VALUE!</v>
      </c>
      <c r="C990" t="e">
        <f t="shared" si="24"/>
        <v>#VALUE!</v>
      </c>
      <c r="D990" t="e">
        <f t="shared" si="25"/>
        <v>#VALUE!</v>
      </c>
      <c r="E990" t="e">
        <f t="shared" si="26"/>
        <v>#VALUE!</v>
      </c>
      <c r="F990" t="e">
        <f t="shared" si="27"/>
        <v>#VALUE!</v>
      </c>
      <c r="G990" t="e">
        <f t="shared" si="28"/>
        <v>#VALUE!</v>
      </c>
      <c r="H990" t="e">
        <f t="shared" si="29"/>
        <v>#VALUE!</v>
      </c>
      <c r="I990" t="e">
        <f t="shared" si="30"/>
        <v>#VALUE!</v>
      </c>
      <c r="J990" t="e">
        <f t="shared" si="32"/>
        <v>#VALUE!</v>
      </c>
      <c r="K990" t="e">
        <f t="shared" si="31"/>
        <v>#VALUE!</v>
      </c>
    </row>
    <row r="991" spans="1:11" hidden="1" x14ac:dyDescent="0.25">
      <c r="A991">
        <f t="shared" si="22"/>
        <v>0</v>
      </c>
      <c r="B991" t="e">
        <f t="shared" si="23"/>
        <v>#VALUE!</v>
      </c>
      <c r="C991" t="e">
        <f t="shared" si="24"/>
        <v>#VALUE!</v>
      </c>
      <c r="D991" t="e">
        <f t="shared" si="25"/>
        <v>#VALUE!</v>
      </c>
      <c r="E991" t="e">
        <f t="shared" si="26"/>
        <v>#VALUE!</v>
      </c>
      <c r="F991" t="e">
        <f t="shared" si="27"/>
        <v>#VALUE!</v>
      </c>
      <c r="G991" t="e">
        <f t="shared" si="28"/>
        <v>#VALUE!</v>
      </c>
      <c r="H991" t="e">
        <f t="shared" si="29"/>
        <v>#VALUE!</v>
      </c>
      <c r="I991" t="e">
        <f t="shared" si="30"/>
        <v>#VALUE!</v>
      </c>
      <c r="J991" t="e">
        <f t="shared" si="32"/>
        <v>#VALUE!</v>
      </c>
      <c r="K991" t="e">
        <f t="shared" si="31"/>
        <v>#VALUE!</v>
      </c>
    </row>
    <row r="992" spans="1:11" hidden="1" x14ac:dyDescent="0.25">
      <c r="A992">
        <f t="shared" si="22"/>
        <v>0</v>
      </c>
      <c r="B992" t="e">
        <f t="shared" si="23"/>
        <v>#VALUE!</v>
      </c>
      <c r="C992" t="e">
        <f t="shared" si="24"/>
        <v>#VALUE!</v>
      </c>
      <c r="D992" t="e">
        <f t="shared" si="25"/>
        <v>#VALUE!</v>
      </c>
      <c r="E992" t="e">
        <f t="shared" si="26"/>
        <v>#VALUE!</v>
      </c>
      <c r="F992" t="e">
        <f t="shared" si="27"/>
        <v>#VALUE!</v>
      </c>
      <c r="G992" t="e">
        <f t="shared" si="28"/>
        <v>#VALUE!</v>
      </c>
      <c r="H992" t="e">
        <f t="shared" si="29"/>
        <v>#VALUE!</v>
      </c>
      <c r="I992" t="e">
        <f t="shared" si="30"/>
        <v>#VALUE!</v>
      </c>
      <c r="J992" t="e">
        <f t="shared" si="32"/>
        <v>#VALUE!</v>
      </c>
      <c r="K992" t="e">
        <f t="shared" si="31"/>
        <v>#VALUE!</v>
      </c>
    </row>
    <row r="993" spans="1:11" hidden="1" x14ac:dyDescent="0.25">
      <c r="A993">
        <f t="shared" si="22"/>
        <v>0</v>
      </c>
      <c r="B993" t="e">
        <f t="shared" si="23"/>
        <v>#VALUE!</v>
      </c>
      <c r="C993" t="e">
        <f t="shared" si="24"/>
        <v>#VALUE!</v>
      </c>
      <c r="D993" t="e">
        <f t="shared" si="25"/>
        <v>#VALUE!</v>
      </c>
      <c r="E993" t="e">
        <f t="shared" si="26"/>
        <v>#VALUE!</v>
      </c>
      <c r="F993" t="e">
        <f t="shared" si="27"/>
        <v>#VALUE!</v>
      </c>
      <c r="G993" t="e">
        <f t="shared" si="28"/>
        <v>#VALUE!</v>
      </c>
      <c r="H993" t="e">
        <f t="shared" si="29"/>
        <v>#VALUE!</v>
      </c>
      <c r="I993" t="e">
        <f t="shared" si="30"/>
        <v>#VALUE!</v>
      </c>
      <c r="J993" t="e">
        <f t="shared" si="32"/>
        <v>#VALUE!</v>
      </c>
      <c r="K993" t="e">
        <f t="shared" si="31"/>
        <v>#VALUE!</v>
      </c>
    </row>
    <row r="994" spans="1:11" hidden="1" x14ac:dyDescent="0.25">
      <c r="A994">
        <f t="shared" si="22"/>
        <v>0</v>
      </c>
      <c r="B994" t="e">
        <f t="shared" si="23"/>
        <v>#VALUE!</v>
      </c>
      <c r="C994" t="e">
        <f t="shared" si="24"/>
        <v>#VALUE!</v>
      </c>
      <c r="D994" t="e">
        <f t="shared" si="25"/>
        <v>#VALUE!</v>
      </c>
      <c r="E994" t="e">
        <f t="shared" si="26"/>
        <v>#VALUE!</v>
      </c>
      <c r="F994" t="e">
        <f t="shared" si="27"/>
        <v>#VALUE!</v>
      </c>
      <c r="G994" t="e">
        <f t="shared" si="28"/>
        <v>#VALUE!</v>
      </c>
      <c r="H994" t="e">
        <f t="shared" si="29"/>
        <v>#VALUE!</v>
      </c>
      <c r="I994" t="e">
        <f t="shared" si="30"/>
        <v>#VALUE!</v>
      </c>
      <c r="J994" t="e">
        <f t="shared" si="32"/>
        <v>#VALUE!</v>
      </c>
      <c r="K994" t="e">
        <f t="shared" si="31"/>
        <v>#VALUE!</v>
      </c>
    </row>
    <row r="995" spans="1:11" hidden="1" x14ac:dyDescent="0.25">
      <c r="A995">
        <f t="shared" si="22"/>
        <v>0</v>
      </c>
      <c r="B995" t="e">
        <f t="shared" si="23"/>
        <v>#VALUE!</v>
      </c>
      <c r="C995" t="e">
        <f t="shared" si="24"/>
        <v>#VALUE!</v>
      </c>
      <c r="D995" t="e">
        <f t="shared" si="25"/>
        <v>#VALUE!</v>
      </c>
      <c r="E995" t="e">
        <f t="shared" si="26"/>
        <v>#VALUE!</v>
      </c>
      <c r="F995" t="e">
        <f t="shared" si="27"/>
        <v>#VALUE!</v>
      </c>
      <c r="G995" t="e">
        <f t="shared" si="28"/>
        <v>#VALUE!</v>
      </c>
      <c r="H995" t="e">
        <f t="shared" si="29"/>
        <v>#VALUE!</v>
      </c>
      <c r="I995" t="e">
        <f t="shared" si="30"/>
        <v>#VALUE!</v>
      </c>
      <c r="J995" t="e">
        <f t="shared" si="32"/>
        <v>#VALUE!</v>
      </c>
      <c r="K995" t="e">
        <f t="shared" si="31"/>
        <v>#VALUE!</v>
      </c>
    </row>
    <row r="996" spans="1:11" hidden="1" x14ac:dyDescent="0.25">
      <c r="A996">
        <f t="shared" si="22"/>
        <v>0</v>
      </c>
      <c r="B996" t="e">
        <f t="shared" si="23"/>
        <v>#VALUE!</v>
      </c>
      <c r="C996" t="e">
        <f t="shared" si="24"/>
        <v>#VALUE!</v>
      </c>
      <c r="D996" t="e">
        <f t="shared" si="25"/>
        <v>#VALUE!</v>
      </c>
      <c r="E996" t="e">
        <f t="shared" si="26"/>
        <v>#VALUE!</v>
      </c>
      <c r="F996" t="e">
        <f t="shared" si="27"/>
        <v>#VALUE!</v>
      </c>
      <c r="G996" t="e">
        <f t="shared" si="28"/>
        <v>#VALUE!</v>
      </c>
      <c r="H996" t="e">
        <f t="shared" si="29"/>
        <v>#VALUE!</v>
      </c>
      <c r="I996" t="e">
        <f t="shared" si="30"/>
        <v>#VALUE!</v>
      </c>
      <c r="J996" t="e">
        <f t="shared" si="32"/>
        <v>#VALUE!</v>
      </c>
      <c r="K996" t="e">
        <f t="shared" si="31"/>
        <v>#VALUE!</v>
      </c>
    </row>
    <row r="997" spans="1:11" hidden="1" x14ac:dyDescent="0.25">
      <c r="A997">
        <f t="shared" si="22"/>
        <v>0</v>
      </c>
      <c r="B997" t="e">
        <f t="shared" si="23"/>
        <v>#VALUE!</v>
      </c>
      <c r="C997" t="e">
        <f t="shared" si="24"/>
        <v>#VALUE!</v>
      </c>
      <c r="D997" t="e">
        <f t="shared" si="25"/>
        <v>#VALUE!</v>
      </c>
      <c r="E997" t="e">
        <f t="shared" si="26"/>
        <v>#VALUE!</v>
      </c>
      <c r="F997" t="e">
        <f t="shared" si="27"/>
        <v>#VALUE!</v>
      </c>
      <c r="G997" t="e">
        <f t="shared" si="28"/>
        <v>#VALUE!</v>
      </c>
      <c r="H997" t="e">
        <f t="shared" si="29"/>
        <v>#VALUE!</v>
      </c>
      <c r="I997" t="e">
        <f t="shared" si="30"/>
        <v>#VALUE!</v>
      </c>
      <c r="J997" t="e">
        <f t="shared" si="32"/>
        <v>#VALUE!</v>
      </c>
      <c r="K997" t="e">
        <f t="shared" si="31"/>
        <v>#VALUE!</v>
      </c>
    </row>
    <row r="998" spans="1:11" hidden="1" x14ac:dyDescent="0.25">
      <c r="A998">
        <f t="shared" si="22"/>
        <v>0</v>
      </c>
      <c r="B998" t="e">
        <f t="shared" si="23"/>
        <v>#VALUE!</v>
      </c>
      <c r="C998" t="e">
        <f t="shared" si="24"/>
        <v>#VALUE!</v>
      </c>
      <c r="D998" t="e">
        <f t="shared" si="25"/>
        <v>#VALUE!</v>
      </c>
      <c r="E998" t="e">
        <f t="shared" si="26"/>
        <v>#VALUE!</v>
      </c>
      <c r="F998" t="e">
        <f t="shared" si="27"/>
        <v>#VALUE!</v>
      </c>
      <c r="G998" t="e">
        <f t="shared" si="28"/>
        <v>#VALUE!</v>
      </c>
      <c r="H998" t="e">
        <f t="shared" si="29"/>
        <v>#VALUE!</v>
      </c>
      <c r="I998" t="e">
        <f t="shared" si="30"/>
        <v>#VALUE!</v>
      </c>
      <c r="J998" t="e">
        <f t="shared" si="32"/>
        <v>#VALUE!</v>
      </c>
      <c r="K998" t="e">
        <f t="shared" si="31"/>
        <v>#VALUE!</v>
      </c>
    </row>
    <row r="999" spans="1:11" hidden="1" x14ac:dyDescent="0.25">
      <c r="A999">
        <f t="shared" si="22"/>
        <v>0</v>
      </c>
      <c r="B999" t="e">
        <f t="shared" si="23"/>
        <v>#VALUE!</v>
      </c>
      <c r="C999" t="e">
        <f t="shared" si="24"/>
        <v>#VALUE!</v>
      </c>
      <c r="D999" t="e">
        <f t="shared" si="25"/>
        <v>#VALUE!</v>
      </c>
      <c r="E999" t="e">
        <f t="shared" si="26"/>
        <v>#VALUE!</v>
      </c>
      <c r="F999" t="e">
        <f t="shared" si="27"/>
        <v>#VALUE!</v>
      </c>
      <c r="G999" t="e">
        <f t="shared" si="28"/>
        <v>#VALUE!</v>
      </c>
      <c r="H999" t="e">
        <f t="shared" si="29"/>
        <v>#VALUE!</v>
      </c>
      <c r="I999" t="e">
        <f t="shared" si="30"/>
        <v>#VALUE!</v>
      </c>
      <c r="J999" t="e">
        <f t="shared" si="32"/>
        <v>#VALUE!</v>
      </c>
      <c r="K999" t="e">
        <f t="shared" si="31"/>
        <v>#VALUE!</v>
      </c>
    </row>
    <row r="1000" spans="1:11" hidden="1" x14ac:dyDescent="0.25">
      <c r="A1000">
        <f t="shared" si="22"/>
        <v>0</v>
      </c>
      <c r="B1000" t="e">
        <f t="shared" si="23"/>
        <v>#VALUE!</v>
      </c>
      <c r="C1000" t="e">
        <f t="shared" si="24"/>
        <v>#VALUE!</v>
      </c>
      <c r="D1000" t="e">
        <f t="shared" si="25"/>
        <v>#VALUE!</v>
      </c>
      <c r="E1000" t="e">
        <f t="shared" si="26"/>
        <v>#VALUE!</v>
      </c>
      <c r="F1000" t="e">
        <f t="shared" si="27"/>
        <v>#VALUE!</v>
      </c>
      <c r="G1000" t="e">
        <f t="shared" si="28"/>
        <v>#VALUE!</v>
      </c>
      <c r="H1000" t="e">
        <f t="shared" si="29"/>
        <v>#VALUE!</v>
      </c>
      <c r="I1000" t="e">
        <f t="shared" si="30"/>
        <v>#VALUE!</v>
      </c>
      <c r="J1000" t="e">
        <f t="shared" si="32"/>
        <v>#VALUE!</v>
      </c>
      <c r="K1000" t="e">
        <f t="shared" si="31"/>
        <v>#VALUE!</v>
      </c>
    </row>
    <row r="1001" spans="1:11" hidden="1" x14ac:dyDescent="0.25">
      <c r="A1001">
        <f t="shared" si="22"/>
        <v>0</v>
      </c>
      <c r="B1001" t="e">
        <f t="shared" si="23"/>
        <v>#VALUE!</v>
      </c>
      <c r="C1001" t="e">
        <f t="shared" si="24"/>
        <v>#VALUE!</v>
      </c>
      <c r="D1001" t="e">
        <f t="shared" si="25"/>
        <v>#VALUE!</v>
      </c>
      <c r="E1001" t="e">
        <f t="shared" si="26"/>
        <v>#VALUE!</v>
      </c>
      <c r="F1001" t="e">
        <f t="shared" si="27"/>
        <v>#VALUE!</v>
      </c>
      <c r="G1001" t="e">
        <f t="shared" si="28"/>
        <v>#VALUE!</v>
      </c>
      <c r="H1001" t="e">
        <f t="shared" si="29"/>
        <v>#VALUE!</v>
      </c>
      <c r="I1001" t="e">
        <f t="shared" si="30"/>
        <v>#VALUE!</v>
      </c>
      <c r="J1001" t="e">
        <f t="shared" si="32"/>
        <v>#VALUE!</v>
      </c>
      <c r="K1001" t="e">
        <f t="shared" si="31"/>
        <v>#VALUE!</v>
      </c>
    </row>
    <row r="1002" spans="1:11" hidden="1" x14ac:dyDescent="0.25">
      <c r="A1002">
        <f t="shared" si="22"/>
        <v>0</v>
      </c>
      <c r="B1002" t="e">
        <f t="shared" si="23"/>
        <v>#VALUE!</v>
      </c>
      <c r="C1002" t="e">
        <f t="shared" si="24"/>
        <v>#VALUE!</v>
      </c>
      <c r="D1002" t="e">
        <f t="shared" si="25"/>
        <v>#VALUE!</v>
      </c>
      <c r="E1002" t="e">
        <f t="shared" si="26"/>
        <v>#VALUE!</v>
      </c>
      <c r="F1002" t="e">
        <f t="shared" si="27"/>
        <v>#VALUE!</v>
      </c>
      <c r="G1002" t="e">
        <f t="shared" si="28"/>
        <v>#VALUE!</v>
      </c>
      <c r="H1002" t="e">
        <f t="shared" si="29"/>
        <v>#VALUE!</v>
      </c>
      <c r="I1002" t="e">
        <f t="shared" si="30"/>
        <v>#VALUE!</v>
      </c>
      <c r="J1002" t="e">
        <f t="shared" si="32"/>
        <v>#VALUE!</v>
      </c>
      <c r="K1002" t="e">
        <f t="shared" si="31"/>
        <v>#VALUE!</v>
      </c>
    </row>
    <row r="1003" spans="1:11" hidden="1" x14ac:dyDescent="0.25">
      <c r="A1003">
        <f t="shared" si="22"/>
        <v>0</v>
      </c>
      <c r="B1003" t="e">
        <f t="shared" si="23"/>
        <v>#VALUE!</v>
      </c>
      <c r="C1003" t="e">
        <f t="shared" si="24"/>
        <v>#VALUE!</v>
      </c>
      <c r="D1003" t="e">
        <f t="shared" si="25"/>
        <v>#VALUE!</v>
      </c>
      <c r="E1003" t="e">
        <f t="shared" si="26"/>
        <v>#VALUE!</v>
      </c>
      <c r="F1003" t="e">
        <f t="shared" si="27"/>
        <v>#VALUE!</v>
      </c>
      <c r="G1003" t="e">
        <f t="shared" si="28"/>
        <v>#VALUE!</v>
      </c>
      <c r="H1003" t="e">
        <f t="shared" si="29"/>
        <v>#VALUE!</v>
      </c>
      <c r="I1003" t="e">
        <f t="shared" si="30"/>
        <v>#VALUE!</v>
      </c>
      <c r="J1003" t="e">
        <f t="shared" si="32"/>
        <v>#VALUE!</v>
      </c>
      <c r="K1003" t="e">
        <f t="shared" si="31"/>
        <v>#VALUE!</v>
      </c>
    </row>
    <row r="1004" spans="1:11" hidden="1" x14ac:dyDescent="0.25">
      <c r="A1004">
        <f t="shared" si="22"/>
        <v>0</v>
      </c>
      <c r="B1004" t="e">
        <f t="shared" si="23"/>
        <v>#VALUE!</v>
      </c>
      <c r="C1004" t="e">
        <f t="shared" si="24"/>
        <v>#VALUE!</v>
      </c>
      <c r="D1004" t="e">
        <f t="shared" si="25"/>
        <v>#VALUE!</v>
      </c>
      <c r="E1004" t="e">
        <f t="shared" si="26"/>
        <v>#VALUE!</v>
      </c>
      <c r="F1004" t="e">
        <f t="shared" si="27"/>
        <v>#VALUE!</v>
      </c>
      <c r="G1004" t="e">
        <f t="shared" si="28"/>
        <v>#VALUE!</v>
      </c>
      <c r="H1004" t="e">
        <f t="shared" si="29"/>
        <v>#VALUE!</v>
      </c>
      <c r="I1004" t="e">
        <f t="shared" si="30"/>
        <v>#VALUE!</v>
      </c>
      <c r="J1004" t="e">
        <f t="shared" si="32"/>
        <v>#VALUE!</v>
      </c>
      <c r="K1004" t="e">
        <f t="shared" si="31"/>
        <v>#VALUE!</v>
      </c>
    </row>
    <row r="1005" spans="1:11" hidden="1" x14ac:dyDescent="0.25">
      <c r="A1005">
        <f t="shared" si="22"/>
        <v>0</v>
      </c>
      <c r="B1005" t="e">
        <f t="shared" si="23"/>
        <v>#VALUE!</v>
      </c>
      <c r="C1005" t="e">
        <f t="shared" si="24"/>
        <v>#VALUE!</v>
      </c>
      <c r="D1005" t="e">
        <f t="shared" si="25"/>
        <v>#VALUE!</v>
      </c>
      <c r="E1005" t="e">
        <f t="shared" si="26"/>
        <v>#VALUE!</v>
      </c>
      <c r="F1005" t="e">
        <f t="shared" si="27"/>
        <v>#VALUE!</v>
      </c>
      <c r="G1005" t="e">
        <f t="shared" si="28"/>
        <v>#VALUE!</v>
      </c>
      <c r="H1005" t="e">
        <f t="shared" si="29"/>
        <v>#VALUE!</v>
      </c>
      <c r="I1005" t="e">
        <f t="shared" si="30"/>
        <v>#VALUE!</v>
      </c>
      <c r="J1005" t="e">
        <f t="shared" si="32"/>
        <v>#VALUE!</v>
      </c>
      <c r="K1005" t="e">
        <f t="shared" si="31"/>
        <v>#VALUE!</v>
      </c>
    </row>
    <row r="1006" spans="1:11" hidden="1" x14ac:dyDescent="0.25">
      <c r="A1006">
        <f t="shared" si="22"/>
        <v>0</v>
      </c>
      <c r="B1006" t="e">
        <f t="shared" si="23"/>
        <v>#VALUE!</v>
      </c>
      <c r="C1006" t="e">
        <f t="shared" si="24"/>
        <v>#VALUE!</v>
      </c>
      <c r="D1006" t="e">
        <f t="shared" si="25"/>
        <v>#VALUE!</v>
      </c>
      <c r="E1006" t="e">
        <f t="shared" si="26"/>
        <v>#VALUE!</v>
      </c>
      <c r="F1006" t="e">
        <f t="shared" si="27"/>
        <v>#VALUE!</v>
      </c>
      <c r="G1006" t="e">
        <f t="shared" si="28"/>
        <v>#VALUE!</v>
      </c>
      <c r="H1006" t="e">
        <f t="shared" si="29"/>
        <v>#VALUE!</v>
      </c>
      <c r="I1006" t="e">
        <f t="shared" si="30"/>
        <v>#VALUE!</v>
      </c>
      <c r="J1006" t="e">
        <f t="shared" si="32"/>
        <v>#VALUE!</v>
      </c>
      <c r="K1006" t="e">
        <f t="shared" si="31"/>
        <v>#VALUE!</v>
      </c>
    </row>
    <row r="1007" spans="1:11" hidden="1" x14ac:dyDescent="0.25">
      <c r="A1007">
        <f t="shared" si="22"/>
        <v>0</v>
      </c>
      <c r="B1007" t="e">
        <f t="shared" si="23"/>
        <v>#VALUE!</v>
      </c>
      <c r="C1007" t="e">
        <f t="shared" si="24"/>
        <v>#VALUE!</v>
      </c>
      <c r="D1007" t="e">
        <f t="shared" si="25"/>
        <v>#VALUE!</v>
      </c>
      <c r="E1007" t="e">
        <f t="shared" si="26"/>
        <v>#VALUE!</v>
      </c>
      <c r="F1007" t="e">
        <f t="shared" si="27"/>
        <v>#VALUE!</v>
      </c>
      <c r="G1007" t="e">
        <f t="shared" si="28"/>
        <v>#VALUE!</v>
      </c>
      <c r="H1007" t="e">
        <f t="shared" si="29"/>
        <v>#VALUE!</v>
      </c>
      <c r="I1007" t="e">
        <f t="shared" si="30"/>
        <v>#VALUE!</v>
      </c>
      <c r="J1007" t="e">
        <f t="shared" si="32"/>
        <v>#VALUE!</v>
      </c>
      <c r="K1007" t="e">
        <f t="shared" si="31"/>
        <v>#VALUE!</v>
      </c>
    </row>
    <row r="1008" spans="1:11" hidden="1" x14ac:dyDescent="0.25">
      <c r="A1008">
        <f t="shared" si="22"/>
        <v>0</v>
      </c>
      <c r="B1008" t="e">
        <f t="shared" si="23"/>
        <v>#VALUE!</v>
      </c>
      <c r="C1008" t="e">
        <f t="shared" si="24"/>
        <v>#VALUE!</v>
      </c>
      <c r="D1008" t="e">
        <f t="shared" si="25"/>
        <v>#VALUE!</v>
      </c>
      <c r="E1008" t="e">
        <f t="shared" si="26"/>
        <v>#VALUE!</v>
      </c>
      <c r="F1008" t="e">
        <f t="shared" si="27"/>
        <v>#VALUE!</v>
      </c>
      <c r="G1008" t="e">
        <f t="shared" si="28"/>
        <v>#VALUE!</v>
      </c>
      <c r="H1008" t="e">
        <f t="shared" si="29"/>
        <v>#VALUE!</v>
      </c>
      <c r="I1008" t="e">
        <f t="shared" si="30"/>
        <v>#VALUE!</v>
      </c>
      <c r="J1008" t="e">
        <f t="shared" si="32"/>
        <v>#VALUE!</v>
      </c>
      <c r="K1008" t="e">
        <f t="shared" si="31"/>
        <v>#VALUE!</v>
      </c>
    </row>
    <row r="1009" spans="1:11" hidden="1" x14ac:dyDescent="0.25">
      <c r="A1009">
        <f t="shared" si="22"/>
        <v>0</v>
      </c>
      <c r="B1009" t="e">
        <f t="shared" si="23"/>
        <v>#VALUE!</v>
      </c>
      <c r="C1009" t="e">
        <f t="shared" si="24"/>
        <v>#VALUE!</v>
      </c>
      <c r="D1009" t="e">
        <f t="shared" si="25"/>
        <v>#VALUE!</v>
      </c>
      <c r="E1009" t="e">
        <f t="shared" si="26"/>
        <v>#VALUE!</v>
      </c>
      <c r="F1009" t="e">
        <f t="shared" si="27"/>
        <v>#VALUE!</v>
      </c>
      <c r="G1009" t="e">
        <f t="shared" si="28"/>
        <v>#VALUE!</v>
      </c>
      <c r="H1009" t="e">
        <f t="shared" si="29"/>
        <v>#VALUE!</v>
      </c>
      <c r="I1009" t="e">
        <f t="shared" si="30"/>
        <v>#VALUE!</v>
      </c>
      <c r="J1009" t="e">
        <f t="shared" si="32"/>
        <v>#VALUE!</v>
      </c>
      <c r="K1009" t="e">
        <f t="shared" si="31"/>
        <v>#VALUE!</v>
      </c>
    </row>
    <row r="1010" spans="1:11" hidden="1" x14ac:dyDescent="0.25">
      <c r="A1010">
        <f t="shared" si="22"/>
        <v>0</v>
      </c>
      <c r="B1010" t="e">
        <f t="shared" si="23"/>
        <v>#VALUE!</v>
      </c>
      <c r="C1010" t="e">
        <f t="shared" si="24"/>
        <v>#VALUE!</v>
      </c>
      <c r="D1010" t="e">
        <f t="shared" si="25"/>
        <v>#VALUE!</v>
      </c>
      <c r="E1010" t="e">
        <f t="shared" si="26"/>
        <v>#VALUE!</v>
      </c>
      <c r="F1010" t="e">
        <f t="shared" si="27"/>
        <v>#VALUE!</v>
      </c>
      <c r="G1010" t="e">
        <f t="shared" si="28"/>
        <v>#VALUE!</v>
      </c>
      <c r="H1010" t="e">
        <f t="shared" si="29"/>
        <v>#VALUE!</v>
      </c>
      <c r="I1010" t="e">
        <f t="shared" si="30"/>
        <v>#VALUE!</v>
      </c>
      <c r="J1010" t="e">
        <f t="shared" si="32"/>
        <v>#VALUE!</v>
      </c>
      <c r="K1010" t="e">
        <f t="shared" si="31"/>
        <v>#VALUE!</v>
      </c>
    </row>
    <row r="1011" spans="1:11" hidden="1" x14ac:dyDescent="0.25">
      <c r="A1011">
        <f t="shared" si="22"/>
        <v>0</v>
      </c>
      <c r="B1011" t="e">
        <f t="shared" si="23"/>
        <v>#VALUE!</v>
      </c>
      <c r="C1011" t="e">
        <f t="shared" si="24"/>
        <v>#VALUE!</v>
      </c>
      <c r="D1011" t="e">
        <f t="shared" si="25"/>
        <v>#VALUE!</v>
      </c>
      <c r="E1011" t="e">
        <f t="shared" si="26"/>
        <v>#VALUE!</v>
      </c>
      <c r="F1011" t="e">
        <f t="shared" si="27"/>
        <v>#VALUE!</v>
      </c>
      <c r="G1011" t="e">
        <f t="shared" si="28"/>
        <v>#VALUE!</v>
      </c>
      <c r="H1011" t="e">
        <f t="shared" si="29"/>
        <v>#VALUE!</v>
      </c>
      <c r="I1011" t="e">
        <f t="shared" si="30"/>
        <v>#VALUE!</v>
      </c>
      <c r="J1011" t="e">
        <f t="shared" si="32"/>
        <v>#VALUE!</v>
      </c>
      <c r="K1011" t="e">
        <f t="shared" si="31"/>
        <v>#VALUE!</v>
      </c>
    </row>
    <row r="1012" spans="1:11" hidden="1" x14ac:dyDescent="0.25">
      <c r="A1012">
        <f t="shared" si="22"/>
        <v>0</v>
      </c>
      <c r="B1012" t="e">
        <f t="shared" si="23"/>
        <v>#VALUE!</v>
      </c>
      <c r="C1012" t="e">
        <f t="shared" si="24"/>
        <v>#VALUE!</v>
      </c>
      <c r="D1012" t="e">
        <f t="shared" si="25"/>
        <v>#VALUE!</v>
      </c>
      <c r="E1012" t="e">
        <f t="shared" si="26"/>
        <v>#VALUE!</v>
      </c>
      <c r="F1012" t="e">
        <f t="shared" si="27"/>
        <v>#VALUE!</v>
      </c>
      <c r="G1012" t="e">
        <f t="shared" si="28"/>
        <v>#VALUE!</v>
      </c>
      <c r="H1012" t="e">
        <f t="shared" si="29"/>
        <v>#VALUE!</v>
      </c>
      <c r="I1012" t="e">
        <f t="shared" si="30"/>
        <v>#VALUE!</v>
      </c>
      <c r="J1012" t="e">
        <f t="shared" si="32"/>
        <v>#VALUE!</v>
      </c>
      <c r="K1012" t="e">
        <f t="shared" si="31"/>
        <v>#VALUE!</v>
      </c>
    </row>
    <row r="1013" spans="1:11" hidden="1" x14ac:dyDescent="0.25">
      <c r="A1013">
        <f t="shared" si="22"/>
        <v>0</v>
      </c>
      <c r="B1013" t="e">
        <f t="shared" si="23"/>
        <v>#VALUE!</v>
      </c>
      <c r="C1013" t="e">
        <f t="shared" si="24"/>
        <v>#VALUE!</v>
      </c>
      <c r="D1013" t="e">
        <f t="shared" si="25"/>
        <v>#VALUE!</v>
      </c>
      <c r="E1013" t="e">
        <f t="shared" si="26"/>
        <v>#VALUE!</v>
      </c>
      <c r="F1013" t="e">
        <f t="shared" si="27"/>
        <v>#VALUE!</v>
      </c>
      <c r="G1013" t="e">
        <f t="shared" si="28"/>
        <v>#VALUE!</v>
      </c>
      <c r="H1013" t="e">
        <f t="shared" si="29"/>
        <v>#VALUE!</v>
      </c>
      <c r="I1013" t="e">
        <f t="shared" si="30"/>
        <v>#VALUE!</v>
      </c>
      <c r="J1013" t="e">
        <f t="shared" si="32"/>
        <v>#VALUE!</v>
      </c>
      <c r="K1013" t="e">
        <f t="shared" si="31"/>
        <v>#VALUE!</v>
      </c>
    </row>
    <row r="1014" spans="1:11" hidden="1" x14ac:dyDescent="0.25">
      <c r="A1014">
        <f t="shared" si="22"/>
        <v>0</v>
      </c>
      <c r="B1014" t="e">
        <f t="shared" si="23"/>
        <v>#VALUE!</v>
      </c>
      <c r="C1014" t="e">
        <f t="shared" si="24"/>
        <v>#VALUE!</v>
      </c>
      <c r="D1014" t="e">
        <f t="shared" si="25"/>
        <v>#VALUE!</v>
      </c>
      <c r="E1014" t="e">
        <f t="shared" si="26"/>
        <v>#VALUE!</v>
      </c>
      <c r="F1014" t="e">
        <f t="shared" si="27"/>
        <v>#VALUE!</v>
      </c>
      <c r="G1014" t="e">
        <f t="shared" si="28"/>
        <v>#VALUE!</v>
      </c>
      <c r="H1014" t="e">
        <f t="shared" si="29"/>
        <v>#VALUE!</v>
      </c>
      <c r="I1014" t="e">
        <f t="shared" si="30"/>
        <v>#VALUE!</v>
      </c>
      <c r="J1014" t="e">
        <f t="shared" si="32"/>
        <v>#VALUE!</v>
      </c>
      <c r="K1014" t="e">
        <f t="shared" si="31"/>
        <v>#VALUE!</v>
      </c>
    </row>
    <row r="1015" spans="1:11" hidden="1" x14ac:dyDescent="0.25">
      <c r="A1015">
        <f t="shared" si="22"/>
        <v>0</v>
      </c>
      <c r="B1015" t="e">
        <f t="shared" si="23"/>
        <v>#VALUE!</v>
      </c>
      <c r="C1015" t="e">
        <f t="shared" si="24"/>
        <v>#VALUE!</v>
      </c>
      <c r="D1015" t="e">
        <f t="shared" si="25"/>
        <v>#VALUE!</v>
      </c>
      <c r="E1015" t="e">
        <f t="shared" si="26"/>
        <v>#VALUE!</v>
      </c>
      <c r="F1015" t="e">
        <f t="shared" si="27"/>
        <v>#VALUE!</v>
      </c>
      <c r="G1015" t="e">
        <f t="shared" si="28"/>
        <v>#VALUE!</v>
      </c>
      <c r="H1015" t="e">
        <f t="shared" si="29"/>
        <v>#VALUE!</v>
      </c>
      <c r="I1015" t="e">
        <f t="shared" si="30"/>
        <v>#VALUE!</v>
      </c>
      <c r="J1015" t="e">
        <f t="shared" si="32"/>
        <v>#VALUE!</v>
      </c>
      <c r="K1015" t="e">
        <f t="shared" si="31"/>
        <v>#VALUE!</v>
      </c>
    </row>
    <row r="1016" spans="1:11" hidden="1" x14ac:dyDescent="0.25">
      <c r="A1016">
        <f t="shared" si="22"/>
        <v>0</v>
      </c>
      <c r="B1016" t="e">
        <f t="shared" si="23"/>
        <v>#VALUE!</v>
      </c>
      <c r="C1016" t="e">
        <f t="shared" si="24"/>
        <v>#VALUE!</v>
      </c>
      <c r="D1016" t="e">
        <f t="shared" si="25"/>
        <v>#VALUE!</v>
      </c>
      <c r="E1016" t="e">
        <f t="shared" si="26"/>
        <v>#VALUE!</v>
      </c>
      <c r="F1016" t="e">
        <f t="shared" si="27"/>
        <v>#VALUE!</v>
      </c>
      <c r="G1016" t="e">
        <f t="shared" si="28"/>
        <v>#VALUE!</v>
      </c>
      <c r="H1016" t="e">
        <f t="shared" si="29"/>
        <v>#VALUE!</v>
      </c>
      <c r="I1016" t="e">
        <f t="shared" si="30"/>
        <v>#VALUE!</v>
      </c>
      <c r="J1016" t="e">
        <f t="shared" si="32"/>
        <v>#VALUE!</v>
      </c>
      <c r="K1016" t="e">
        <f t="shared" si="31"/>
        <v>#VALUE!</v>
      </c>
    </row>
    <row r="1017" spans="1:11" hidden="1" x14ac:dyDescent="0.25">
      <c r="A1017">
        <f t="shared" si="22"/>
        <v>0</v>
      </c>
      <c r="B1017" t="e">
        <f t="shared" si="23"/>
        <v>#VALUE!</v>
      </c>
      <c r="C1017" t="e">
        <f t="shared" si="24"/>
        <v>#VALUE!</v>
      </c>
      <c r="D1017" t="e">
        <f t="shared" si="25"/>
        <v>#VALUE!</v>
      </c>
      <c r="E1017" t="e">
        <f t="shared" si="26"/>
        <v>#VALUE!</v>
      </c>
      <c r="F1017" t="e">
        <f t="shared" si="27"/>
        <v>#VALUE!</v>
      </c>
      <c r="G1017" t="e">
        <f t="shared" si="28"/>
        <v>#VALUE!</v>
      </c>
      <c r="H1017" t="e">
        <f t="shared" si="29"/>
        <v>#VALUE!</v>
      </c>
      <c r="I1017" t="e">
        <f t="shared" si="30"/>
        <v>#VALUE!</v>
      </c>
      <c r="J1017" t="e">
        <f t="shared" si="32"/>
        <v>#VALUE!</v>
      </c>
      <c r="K1017" t="e">
        <f t="shared" si="31"/>
        <v>#VALUE!</v>
      </c>
    </row>
    <row r="1018" spans="1:11" hidden="1" x14ac:dyDescent="0.25">
      <c r="A1018">
        <f t="shared" si="22"/>
        <v>0</v>
      </c>
      <c r="B1018" t="e">
        <f t="shared" si="23"/>
        <v>#VALUE!</v>
      </c>
      <c r="C1018" t="e">
        <f t="shared" si="24"/>
        <v>#VALUE!</v>
      </c>
      <c r="D1018" t="e">
        <f t="shared" si="25"/>
        <v>#VALUE!</v>
      </c>
      <c r="E1018" t="e">
        <f t="shared" si="26"/>
        <v>#VALUE!</v>
      </c>
      <c r="F1018" t="e">
        <f t="shared" si="27"/>
        <v>#VALUE!</v>
      </c>
      <c r="G1018" t="e">
        <f t="shared" si="28"/>
        <v>#VALUE!</v>
      </c>
      <c r="H1018" t="e">
        <f t="shared" si="29"/>
        <v>#VALUE!</v>
      </c>
      <c r="I1018" t="e">
        <f t="shared" si="30"/>
        <v>#VALUE!</v>
      </c>
      <c r="J1018" t="e">
        <f t="shared" si="32"/>
        <v>#VALUE!</v>
      </c>
      <c r="K1018" t="e">
        <f t="shared" si="31"/>
        <v>#VALUE!</v>
      </c>
    </row>
    <row r="1019" spans="1:11" hidden="1" x14ac:dyDescent="0.25">
      <c r="A1019">
        <f t="shared" si="22"/>
        <v>0</v>
      </c>
      <c r="B1019" t="e">
        <f t="shared" si="23"/>
        <v>#VALUE!</v>
      </c>
      <c r="C1019" t="e">
        <f t="shared" si="24"/>
        <v>#VALUE!</v>
      </c>
      <c r="D1019" t="e">
        <f t="shared" si="25"/>
        <v>#VALUE!</v>
      </c>
      <c r="E1019" t="e">
        <f t="shared" si="26"/>
        <v>#VALUE!</v>
      </c>
      <c r="F1019" t="e">
        <f t="shared" si="27"/>
        <v>#VALUE!</v>
      </c>
      <c r="G1019" t="e">
        <f t="shared" si="28"/>
        <v>#VALUE!</v>
      </c>
      <c r="H1019" t="e">
        <f t="shared" si="29"/>
        <v>#VALUE!</v>
      </c>
      <c r="I1019" t="e">
        <f t="shared" si="30"/>
        <v>#VALUE!</v>
      </c>
      <c r="J1019" t="e">
        <f t="shared" si="32"/>
        <v>#VALUE!</v>
      </c>
      <c r="K1019" t="e">
        <f t="shared" si="31"/>
        <v>#VALUE!</v>
      </c>
    </row>
    <row r="1020" spans="1:11" hidden="1" x14ac:dyDescent="0.25">
      <c r="A1020">
        <f t="shared" si="22"/>
        <v>0</v>
      </c>
      <c r="B1020" t="e">
        <f t="shared" si="23"/>
        <v>#VALUE!</v>
      </c>
      <c r="C1020" t="e">
        <f t="shared" si="24"/>
        <v>#VALUE!</v>
      </c>
      <c r="D1020" t="e">
        <f t="shared" si="25"/>
        <v>#VALUE!</v>
      </c>
      <c r="E1020" t="e">
        <f t="shared" si="26"/>
        <v>#VALUE!</v>
      </c>
      <c r="F1020" t="e">
        <f t="shared" si="27"/>
        <v>#VALUE!</v>
      </c>
      <c r="G1020" t="e">
        <f t="shared" si="28"/>
        <v>#VALUE!</v>
      </c>
      <c r="H1020" t="e">
        <f t="shared" si="29"/>
        <v>#VALUE!</v>
      </c>
      <c r="I1020" t="e">
        <f t="shared" si="30"/>
        <v>#VALUE!</v>
      </c>
      <c r="J1020" t="e">
        <f t="shared" si="32"/>
        <v>#VALUE!</v>
      </c>
      <c r="K1020" t="e">
        <f t="shared" si="31"/>
        <v>#VALUE!</v>
      </c>
    </row>
    <row r="1021" spans="1:11" hidden="1" x14ac:dyDescent="0.25">
      <c r="A1021">
        <f t="shared" si="22"/>
        <v>0</v>
      </c>
      <c r="B1021" t="e">
        <f t="shared" si="23"/>
        <v>#VALUE!</v>
      </c>
      <c r="C1021" t="e">
        <f t="shared" si="24"/>
        <v>#VALUE!</v>
      </c>
      <c r="D1021" t="e">
        <f t="shared" si="25"/>
        <v>#VALUE!</v>
      </c>
      <c r="E1021" t="e">
        <f t="shared" si="26"/>
        <v>#VALUE!</v>
      </c>
      <c r="F1021" t="e">
        <f t="shared" si="27"/>
        <v>#VALUE!</v>
      </c>
      <c r="G1021" t="e">
        <f t="shared" si="28"/>
        <v>#VALUE!</v>
      </c>
      <c r="H1021" t="e">
        <f t="shared" si="29"/>
        <v>#VALUE!</v>
      </c>
      <c r="I1021" t="e">
        <f t="shared" si="30"/>
        <v>#VALUE!</v>
      </c>
      <c r="J1021" t="e">
        <f t="shared" si="32"/>
        <v>#VALUE!</v>
      </c>
      <c r="K1021" t="e">
        <f t="shared" si="31"/>
        <v>#VALUE!</v>
      </c>
    </row>
    <row r="1022" spans="1:11" hidden="1" x14ac:dyDescent="0.25">
      <c r="A1022">
        <f t="shared" si="22"/>
        <v>0</v>
      </c>
      <c r="B1022" t="e">
        <f t="shared" si="23"/>
        <v>#VALUE!</v>
      </c>
      <c r="C1022" t="e">
        <f t="shared" si="24"/>
        <v>#VALUE!</v>
      </c>
      <c r="D1022" t="e">
        <f t="shared" si="25"/>
        <v>#VALUE!</v>
      </c>
      <c r="E1022" t="e">
        <f t="shared" si="26"/>
        <v>#VALUE!</v>
      </c>
      <c r="F1022" t="e">
        <f t="shared" si="27"/>
        <v>#VALUE!</v>
      </c>
      <c r="G1022" t="e">
        <f t="shared" si="28"/>
        <v>#VALUE!</v>
      </c>
      <c r="H1022" t="e">
        <f t="shared" si="29"/>
        <v>#VALUE!</v>
      </c>
      <c r="I1022" t="e">
        <f t="shared" si="30"/>
        <v>#VALUE!</v>
      </c>
      <c r="J1022" t="e">
        <f t="shared" si="32"/>
        <v>#VALUE!</v>
      </c>
      <c r="K1022" t="e">
        <f t="shared" si="31"/>
        <v>#VALUE!</v>
      </c>
    </row>
    <row r="1023" spans="1:11" hidden="1" x14ac:dyDescent="0.25">
      <c r="A1023">
        <f t="shared" si="22"/>
        <v>0</v>
      </c>
      <c r="B1023" t="e">
        <f t="shared" si="23"/>
        <v>#VALUE!</v>
      </c>
      <c r="C1023" t="e">
        <f t="shared" si="24"/>
        <v>#VALUE!</v>
      </c>
      <c r="D1023" t="e">
        <f t="shared" si="25"/>
        <v>#VALUE!</v>
      </c>
      <c r="E1023" t="e">
        <f t="shared" si="26"/>
        <v>#VALUE!</v>
      </c>
      <c r="F1023" t="e">
        <f t="shared" si="27"/>
        <v>#VALUE!</v>
      </c>
      <c r="G1023" t="e">
        <f t="shared" si="28"/>
        <v>#VALUE!</v>
      </c>
      <c r="H1023" t="e">
        <f t="shared" si="29"/>
        <v>#VALUE!</v>
      </c>
      <c r="I1023" t="e">
        <f t="shared" si="30"/>
        <v>#VALUE!</v>
      </c>
      <c r="J1023" t="e">
        <f t="shared" si="32"/>
        <v>#VALUE!</v>
      </c>
      <c r="K1023" t="e">
        <f t="shared" si="31"/>
        <v>#VALUE!</v>
      </c>
    </row>
    <row r="1024" spans="1:11" hidden="1" x14ac:dyDescent="0.25">
      <c r="A1024">
        <f t="shared" si="22"/>
        <v>0</v>
      </c>
      <c r="B1024" t="e">
        <f t="shared" si="23"/>
        <v>#VALUE!</v>
      </c>
      <c r="C1024" t="e">
        <f t="shared" si="24"/>
        <v>#VALUE!</v>
      </c>
      <c r="D1024" t="e">
        <f t="shared" si="25"/>
        <v>#VALUE!</v>
      </c>
      <c r="E1024" t="e">
        <f t="shared" si="26"/>
        <v>#VALUE!</v>
      </c>
      <c r="F1024" t="e">
        <f t="shared" si="27"/>
        <v>#VALUE!</v>
      </c>
      <c r="G1024" t="e">
        <f t="shared" si="28"/>
        <v>#VALUE!</v>
      </c>
      <c r="H1024" t="e">
        <f t="shared" si="29"/>
        <v>#VALUE!</v>
      </c>
      <c r="I1024" t="e">
        <f t="shared" si="30"/>
        <v>#VALUE!</v>
      </c>
      <c r="J1024" t="e">
        <f t="shared" si="32"/>
        <v>#VALUE!</v>
      </c>
      <c r="K1024" t="e">
        <f t="shared" si="31"/>
        <v>#VALUE!</v>
      </c>
    </row>
    <row r="1025" spans="1:11" hidden="1" x14ac:dyDescent="0.25">
      <c r="A1025">
        <f t="shared" si="22"/>
        <v>0</v>
      </c>
      <c r="B1025" t="e">
        <f t="shared" si="23"/>
        <v>#VALUE!</v>
      </c>
      <c r="C1025" t="e">
        <f t="shared" si="24"/>
        <v>#VALUE!</v>
      </c>
      <c r="D1025" t="e">
        <f t="shared" si="25"/>
        <v>#VALUE!</v>
      </c>
      <c r="E1025" t="e">
        <f t="shared" si="26"/>
        <v>#VALUE!</v>
      </c>
      <c r="F1025" t="e">
        <f t="shared" si="27"/>
        <v>#VALUE!</v>
      </c>
      <c r="G1025" t="e">
        <f t="shared" si="28"/>
        <v>#VALUE!</v>
      </c>
      <c r="H1025" t="e">
        <f t="shared" si="29"/>
        <v>#VALUE!</v>
      </c>
      <c r="I1025" t="e">
        <f t="shared" si="30"/>
        <v>#VALUE!</v>
      </c>
      <c r="J1025" t="e">
        <f t="shared" si="32"/>
        <v>#VALUE!</v>
      </c>
      <c r="K1025" t="e">
        <f t="shared" si="31"/>
        <v>#VALUE!</v>
      </c>
    </row>
    <row r="1026" spans="1:11" hidden="1" x14ac:dyDescent="0.25">
      <c r="A1026">
        <f t="shared" si="22"/>
        <v>0</v>
      </c>
      <c r="B1026" t="e">
        <f t="shared" si="23"/>
        <v>#VALUE!</v>
      </c>
      <c r="C1026" t="e">
        <f t="shared" si="24"/>
        <v>#VALUE!</v>
      </c>
      <c r="D1026" t="e">
        <f t="shared" si="25"/>
        <v>#VALUE!</v>
      </c>
      <c r="E1026" t="e">
        <f t="shared" si="26"/>
        <v>#VALUE!</v>
      </c>
      <c r="F1026" t="e">
        <f t="shared" si="27"/>
        <v>#VALUE!</v>
      </c>
      <c r="G1026" t="e">
        <f t="shared" si="28"/>
        <v>#VALUE!</v>
      </c>
      <c r="H1026" t="e">
        <f t="shared" si="29"/>
        <v>#VALUE!</v>
      </c>
      <c r="I1026" t="e">
        <f t="shared" si="30"/>
        <v>#VALUE!</v>
      </c>
      <c r="J1026" t="e">
        <f t="shared" si="32"/>
        <v>#VALUE!</v>
      </c>
      <c r="K1026" t="e">
        <f t="shared" si="31"/>
        <v>#VALUE!</v>
      </c>
    </row>
    <row r="1027" spans="1:11" hidden="1" x14ac:dyDescent="0.25">
      <c r="A1027">
        <f t="shared" si="22"/>
        <v>0</v>
      </c>
      <c r="B1027" t="e">
        <f t="shared" si="23"/>
        <v>#VALUE!</v>
      </c>
      <c r="C1027" t="e">
        <f t="shared" si="24"/>
        <v>#VALUE!</v>
      </c>
      <c r="D1027" t="e">
        <f t="shared" si="25"/>
        <v>#VALUE!</v>
      </c>
      <c r="E1027" t="e">
        <f t="shared" si="26"/>
        <v>#VALUE!</v>
      </c>
      <c r="F1027" t="e">
        <f t="shared" si="27"/>
        <v>#VALUE!</v>
      </c>
      <c r="G1027" t="e">
        <f t="shared" si="28"/>
        <v>#VALUE!</v>
      </c>
      <c r="H1027" t="e">
        <f t="shared" si="29"/>
        <v>#VALUE!</v>
      </c>
      <c r="I1027" t="e">
        <f t="shared" si="30"/>
        <v>#VALUE!</v>
      </c>
      <c r="J1027" t="e">
        <f t="shared" si="32"/>
        <v>#VALUE!</v>
      </c>
      <c r="K1027" t="e">
        <f t="shared" si="31"/>
        <v>#VALUE!</v>
      </c>
    </row>
    <row r="1028" spans="1:11" hidden="1" x14ac:dyDescent="0.25">
      <c r="A1028">
        <f t="shared" si="22"/>
        <v>0</v>
      </c>
      <c r="B1028" t="e">
        <f t="shared" si="23"/>
        <v>#VALUE!</v>
      </c>
      <c r="C1028" t="e">
        <f t="shared" si="24"/>
        <v>#VALUE!</v>
      </c>
      <c r="D1028" t="e">
        <f t="shared" si="25"/>
        <v>#VALUE!</v>
      </c>
      <c r="E1028" t="e">
        <f t="shared" si="26"/>
        <v>#VALUE!</v>
      </c>
      <c r="F1028" t="e">
        <f t="shared" si="27"/>
        <v>#VALUE!</v>
      </c>
      <c r="G1028" t="e">
        <f t="shared" si="28"/>
        <v>#VALUE!</v>
      </c>
      <c r="H1028" t="e">
        <f t="shared" si="29"/>
        <v>#VALUE!</v>
      </c>
      <c r="I1028" t="e">
        <f t="shared" si="30"/>
        <v>#VALUE!</v>
      </c>
      <c r="J1028" t="e">
        <f t="shared" si="32"/>
        <v>#VALUE!</v>
      </c>
      <c r="K1028" t="e">
        <f t="shared" si="31"/>
        <v>#VALUE!</v>
      </c>
    </row>
    <row r="1029" spans="1:11" hidden="1" x14ac:dyDescent="0.25">
      <c r="A1029">
        <f t="shared" si="22"/>
        <v>0</v>
      </c>
      <c r="B1029" t="e">
        <f t="shared" si="23"/>
        <v>#VALUE!</v>
      </c>
      <c r="C1029" t="e">
        <f t="shared" si="24"/>
        <v>#VALUE!</v>
      </c>
      <c r="D1029" t="e">
        <f t="shared" si="25"/>
        <v>#VALUE!</v>
      </c>
      <c r="E1029" t="e">
        <f t="shared" si="26"/>
        <v>#VALUE!</v>
      </c>
      <c r="F1029" t="e">
        <f t="shared" si="27"/>
        <v>#VALUE!</v>
      </c>
      <c r="G1029" t="e">
        <f t="shared" si="28"/>
        <v>#VALUE!</v>
      </c>
      <c r="H1029" t="e">
        <f t="shared" si="29"/>
        <v>#VALUE!</v>
      </c>
      <c r="I1029" t="e">
        <f t="shared" si="30"/>
        <v>#VALUE!</v>
      </c>
      <c r="J1029" t="e">
        <f t="shared" si="32"/>
        <v>#VALUE!</v>
      </c>
      <c r="K1029" t="e">
        <f t="shared" si="31"/>
        <v>#VALUE!</v>
      </c>
    </row>
    <row r="1030" spans="1:11" hidden="1" x14ac:dyDescent="0.25">
      <c r="A1030">
        <f t="shared" si="22"/>
        <v>0</v>
      </c>
      <c r="B1030" t="e">
        <f t="shared" si="23"/>
        <v>#VALUE!</v>
      </c>
      <c r="C1030" t="e">
        <f t="shared" si="24"/>
        <v>#VALUE!</v>
      </c>
      <c r="D1030" t="e">
        <f t="shared" si="25"/>
        <v>#VALUE!</v>
      </c>
      <c r="E1030" t="e">
        <f t="shared" si="26"/>
        <v>#VALUE!</v>
      </c>
      <c r="F1030" t="e">
        <f t="shared" si="27"/>
        <v>#VALUE!</v>
      </c>
      <c r="G1030" t="e">
        <f t="shared" si="28"/>
        <v>#VALUE!</v>
      </c>
      <c r="H1030" t="e">
        <f t="shared" si="29"/>
        <v>#VALUE!</v>
      </c>
      <c r="I1030" t="e">
        <f t="shared" si="30"/>
        <v>#VALUE!</v>
      </c>
      <c r="J1030" t="e">
        <f t="shared" si="32"/>
        <v>#VALUE!</v>
      </c>
      <c r="K1030" t="e">
        <f t="shared" si="31"/>
        <v>#VALUE!</v>
      </c>
    </row>
    <row r="1031" spans="1:11" hidden="1" x14ac:dyDescent="0.25">
      <c r="A1031">
        <f t="shared" si="22"/>
        <v>0</v>
      </c>
      <c r="B1031" t="e">
        <f t="shared" si="23"/>
        <v>#VALUE!</v>
      </c>
      <c r="C1031" t="e">
        <f t="shared" si="24"/>
        <v>#VALUE!</v>
      </c>
      <c r="D1031" t="e">
        <f t="shared" si="25"/>
        <v>#VALUE!</v>
      </c>
      <c r="E1031" t="e">
        <f t="shared" si="26"/>
        <v>#VALUE!</v>
      </c>
      <c r="F1031" t="e">
        <f t="shared" si="27"/>
        <v>#VALUE!</v>
      </c>
      <c r="G1031" t="e">
        <f t="shared" si="28"/>
        <v>#VALUE!</v>
      </c>
      <c r="H1031" t="e">
        <f t="shared" si="29"/>
        <v>#VALUE!</v>
      </c>
      <c r="I1031" t="e">
        <f t="shared" si="30"/>
        <v>#VALUE!</v>
      </c>
      <c r="J1031" t="e">
        <f t="shared" si="32"/>
        <v>#VALUE!</v>
      </c>
      <c r="K1031" t="e">
        <f t="shared" si="31"/>
        <v>#VALUE!</v>
      </c>
    </row>
    <row r="1032" spans="1:11" hidden="1" x14ac:dyDescent="0.25">
      <c r="A1032">
        <f t="shared" si="22"/>
        <v>0</v>
      </c>
      <c r="B1032" t="e">
        <f t="shared" si="23"/>
        <v>#VALUE!</v>
      </c>
      <c r="C1032" t="e">
        <f t="shared" si="24"/>
        <v>#VALUE!</v>
      </c>
      <c r="D1032" t="e">
        <f t="shared" si="25"/>
        <v>#VALUE!</v>
      </c>
      <c r="E1032" t="e">
        <f t="shared" si="26"/>
        <v>#VALUE!</v>
      </c>
      <c r="F1032" t="e">
        <f t="shared" si="27"/>
        <v>#VALUE!</v>
      </c>
      <c r="G1032" t="e">
        <f t="shared" si="28"/>
        <v>#VALUE!</v>
      </c>
      <c r="H1032" t="e">
        <f t="shared" si="29"/>
        <v>#VALUE!</v>
      </c>
      <c r="I1032" t="e">
        <f t="shared" si="30"/>
        <v>#VALUE!</v>
      </c>
      <c r="J1032" t="e">
        <f t="shared" si="32"/>
        <v>#VALUE!</v>
      </c>
      <c r="K1032" t="e">
        <f t="shared" si="31"/>
        <v>#VALUE!</v>
      </c>
    </row>
    <row r="1033" spans="1:11" hidden="1" x14ac:dyDescent="0.25">
      <c r="A1033">
        <f t="shared" si="22"/>
        <v>0</v>
      </c>
      <c r="B1033" t="e">
        <f t="shared" si="23"/>
        <v>#VALUE!</v>
      </c>
      <c r="C1033" t="e">
        <f t="shared" si="24"/>
        <v>#VALUE!</v>
      </c>
      <c r="D1033" t="e">
        <f t="shared" si="25"/>
        <v>#VALUE!</v>
      </c>
      <c r="E1033" t="e">
        <f t="shared" si="26"/>
        <v>#VALUE!</v>
      </c>
      <c r="F1033" t="e">
        <f t="shared" si="27"/>
        <v>#VALUE!</v>
      </c>
      <c r="G1033" t="e">
        <f t="shared" si="28"/>
        <v>#VALUE!</v>
      </c>
      <c r="H1033" t="e">
        <f t="shared" si="29"/>
        <v>#VALUE!</v>
      </c>
      <c r="I1033" t="e">
        <f t="shared" si="30"/>
        <v>#VALUE!</v>
      </c>
      <c r="J1033" t="e">
        <f t="shared" si="32"/>
        <v>#VALUE!</v>
      </c>
      <c r="K1033" t="e">
        <f t="shared" si="31"/>
        <v>#VALUE!</v>
      </c>
    </row>
    <row r="1034" spans="1:11" hidden="1" x14ac:dyDescent="0.25">
      <c r="A1034">
        <f t="shared" si="22"/>
        <v>0</v>
      </c>
      <c r="B1034" t="e">
        <f t="shared" si="23"/>
        <v>#VALUE!</v>
      </c>
      <c r="C1034" t="e">
        <f t="shared" si="24"/>
        <v>#VALUE!</v>
      </c>
      <c r="D1034" t="e">
        <f t="shared" si="25"/>
        <v>#VALUE!</v>
      </c>
      <c r="E1034" t="e">
        <f t="shared" si="26"/>
        <v>#VALUE!</v>
      </c>
      <c r="F1034" t="e">
        <f t="shared" si="27"/>
        <v>#VALUE!</v>
      </c>
      <c r="G1034" t="e">
        <f t="shared" si="28"/>
        <v>#VALUE!</v>
      </c>
      <c r="H1034" t="e">
        <f t="shared" si="29"/>
        <v>#VALUE!</v>
      </c>
      <c r="I1034" t="e">
        <f t="shared" si="30"/>
        <v>#VALUE!</v>
      </c>
      <c r="J1034" t="e">
        <f t="shared" si="32"/>
        <v>#VALUE!</v>
      </c>
      <c r="K1034" t="e">
        <f t="shared" si="31"/>
        <v>#VALUE!</v>
      </c>
    </row>
    <row r="1035" spans="1:11" hidden="1" x14ac:dyDescent="0.25">
      <c r="A1035">
        <f t="shared" si="22"/>
        <v>0</v>
      </c>
      <c r="B1035" t="e">
        <f t="shared" si="23"/>
        <v>#VALUE!</v>
      </c>
      <c r="C1035" t="e">
        <f t="shared" si="24"/>
        <v>#VALUE!</v>
      </c>
      <c r="D1035" t="e">
        <f t="shared" si="25"/>
        <v>#VALUE!</v>
      </c>
      <c r="E1035" t="e">
        <f t="shared" si="26"/>
        <v>#VALUE!</v>
      </c>
      <c r="F1035" t="e">
        <f t="shared" si="27"/>
        <v>#VALUE!</v>
      </c>
      <c r="G1035" t="e">
        <f t="shared" si="28"/>
        <v>#VALUE!</v>
      </c>
      <c r="H1035" t="e">
        <f t="shared" si="29"/>
        <v>#VALUE!</v>
      </c>
      <c r="I1035" t="e">
        <f t="shared" si="30"/>
        <v>#VALUE!</v>
      </c>
      <c r="J1035" t="e">
        <f t="shared" si="32"/>
        <v>#VALUE!</v>
      </c>
      <c r="K1035" t="e">
        <f t="shared" si="31"/>
        <v>#VALUE!</v>
      </c>
    </row>
    <row r="1036" spans="1:11" hidden="1" x14ac:dyDescent="0.25">
      <c r="A1036">
        <f t="shared" si="22"/>
        <v>0</v>
      </c>
      <c r="B1036" t="e">
        <f t="shared" si="23"/>
        <v>#VALUE!</v>
      </c>
      <c r="C1036" t="e">
        <f t="shared" si="24"/>
        <v>#VALUE!</v>
      </c>
      <c r="D1036" t="e">
        <f t="shared" si="25"/>
        <v>#VALUE!</v>
      </c>
      <c r="E1036" t="e">
        <f t="shared" si="26"/>
        <v>#VALUE!</v>
      </c>
      <c r="F1036" t="e">
        <f t="shared" si="27"/>
        <v>#VALUE!</v>
      </c>
      <c r="G1036" t="e">
        <f t="shared" si="28"/>
        <v>#VALUE!</v>
      </c>
      <c r="H1036" t="e">
        <f t="shared" si="29"/>
        <v>#VALUE!</v>
      </c>
      <c r="I1036" t="e">
        <f t="shared" si="30"/>
        <v>#VALUE!</v>
      </c>
      <c r="J1036" t="e">
        <f t="shared" si="32"/>
        <v>#VALUE!</v>
      </c>
      <c r="K1036" t="e">
        <f t="shared" si="31"/>
        <v>#VALUE!</v>
      </c>
    </row>
    <row r="1037" spans="1:11" hidden="1" x14ac:dyDescent="0.25">
      <c r="A1037">
        <f t="shared" si="22"/>
        <v>0</v>
      </c>
      <c r="B1037" t="e">
        <f t="shared" si="23"/>
        <v>#VALUE!</v>
      </c>
      <c r="C1037" t="e">
        <f t="shared" si="24"/>
        <v>#VALUE!</v>
      </c>
      <c r="D1037" t="e">
        <f t="shared" si="25"/>
        <v>#VALUE!</v>
      </c>
      <c r="E1037" t="e">
        <f t="shared" si="26"/>
        <v>#VALUE!</v>
      </c>
      <c r="F1037" t="e">
        <f t="shared" si="27"/>
        <v>#VALUE!</v>
      </c>
      <c r="G1037" t="e">
        <f t="shared" si="28"/>
        <v>#VALUE!</v>
      </c>
      <c r="H1037" t="e">
        <f t="shared" si="29"/>
        <v>#VALUE!</v>
      </c>
      <c r="I1037" t="e">
        <f t="shared" si="30"/>
        <v>#VALUE!</v>
      </c>
      <c r="J1037" t="e">
        <f t="shared" si="32"/>
        <v>#VALUE!</v>
      </c>
      <c r="K1037" t="e">
        <f t="shared" si="31"/>
        <v>#VALUE!</v>
      </c>
    </row>
    <row r="1038" spans="1:11" hidden="1" x14ac:dyDescent="0.25">
      <c r="A1038">
        <f t="shared" si="22"/>
        <v>0</v>
      </c>
      <c r="B1038" t="e">
        <f t="shared" si="23"/>
        <v>#VALUE!</v>
      </c>
      <c r="C1038" t="e">
        <f t="shared" si="24"/>
        <v>#VALUE!</v>
      </c>
      <c r="D1038" t="e">
        <f t="shared" si="25"/>
        <v>#VALUE!</v>
      </c>
      <c r="E1038" t="e">
        <f t="shared" si="26"/>
        <v>#VALUE!</v>
      </c>
      <c r="F1038" t="e">
        <f t="shared" si="27"/>
        <v>#VALUE!</v>
      </c>
      <c r="G1038" t="e">
        <f t="shared" si="28"/>
        <v>#VALUE!</v>
      </c>
      <c r="H1038" t="e">
        <f t="shared" si="29"/>
        <v>#VALUE!</v>
      </c>
      <c r="I1038" t="e">
        <f t="shared" si="30"/>
        <v>#VALUE!</v>
      </c>
      <c r="J1038" t="e">
        <f t="shared" si="32"/>
        <v>#VALUE!</v>
      </c>
      <c r="K1038" t="e">
        <f t="shared" si="31"/>
        <v>#VALUE!</v>
      </c>
    </row>
    <row r="1039" spans="1:11" hidden="1" x14ac:dyDescent="0.25">
      <c r="A1039">
        <f t="shared" si="22"/>
        <v>0</v>
      </c>
      <c r="B1039" t="e">
        <f t="shared" si="23"/>
        <v>#VALUE!</v>
      </c>
      <c r="C1039" t="e">
        <f t="shared" si="24"/>
        <v>#VALUE!</v>
      </c>
      <c r="D1039" t="e">
        <f t="shared" si="25"/>
        <v>#VALUE!</v>
      </c>
      <c r="E1039" t="e">
        <f t="shared" si="26"/>
        <v>#VALUE!</v>
      </c>
      <c r="F1039" t="e">
        <f t="shared" si="27"/>
        <v>#VALUE!</v>
      </c>
      <c r="G1039" t="e">
        <f t="shared" si="28"/>
        <v>#VALUE!</v>
      </c>
      <c r="H1039" t="e">
        <f t="shared" si="29"/>
        <v>#VALUE!</v>
      </c>
      <c r="I1039" t="e">
        <f t="shared" si="30"/>
        <v>#VALUE!</v>
      </c>
      <c r="J1039" t="e">
        <f t="shared" si="32"/>
        <v>#VALUE!</v>
      </c>
      <c r="K1039" t="e">
        <f t="shared" si="31"/>
        <v>#VALUE!</v>
      </c>
    </row>
    <row r="1040" spans="1:11" hidden="1" x14ac:dyDescent="0.25">
      <c r="A1040">
        <f t="shared" si="22"/>
        <v>0</v>
      </c>
      <c r="B1040" t="e">
        <f t="shared" si="23"/>
        <v>#VALUE!</v>
      </c>
      <c r="C1040" t="e">
        <f t="shared" si="24"/>
        <v>#VALUE!</v>
      </c>
      <c r="D1040" t="e">
        <f t="shared" si="25"/>
        <v>#VALUE!</v>
      </c>
      <c r="E1040" t="e">
        <f t="shared" si="26"/>
        <v>#VALUE!</v>
      </c>
      <c r="F1040" t="e">
        <f t="shared" si="27"/>
        <v>#VALUE!</v>
      </c>
      <c r="G1040" t="e">
        <f t="shared" si="28"/>
        <v>#VALUE!</v>
      </c>
      <c r="H1040" t="e">
        <f t="shared" si="29"/>
        <v>#VALUE!</v>
      </c>
      <c r="I1040" t="e">
        <f t="shared" si="30"/>
        <v>#VALUE!</v>
      </c>
      <c r="J1040" t="e">
        <f t="shared" si="32"/>
        <v>#VALUE!</v>
      </c>
      <c r="K1040" t="e">
        <f t="shared" si="31"/>
        <v>#VALUE!</v>
      </c>
    </row>
    <row r="1041" spans="1:11" hidden="1" x14ac:dyDescent="0.25">
      <c r="A1041">
        <f t="shared" si="22"/>
        <v>0</v>
      </c>
      <c r="B1041" t="e">
        <f t="shared" si="23"/>
        <v>#VALUE!</v>
      </c>
      <c r="C1041" t="e">
        <f t="shared" si="24"/>
        <v>#VALUE!</v>
      </c>
      <c r="D1041" t="e">
        <f t="shared" si="25"/>
        <v>#VALUE!</v>
      </c>
      <c r="E1041" t="e">
        <f t="shared" si="26"/>
        <v>#VALUE!</v>
      </c>
      <c r="F1041" t="e">
        <f t="shared" si="27"/>
        <v>#VALUE!</v>
      </c>
      <c r="G1041" t="e">
        <f t="shared" si="28"/>
        <v>#VALUE!</v>
      </c>
      <c r="H1041" t="e">
        <f t="shared" si="29"/>
        <v>#VALUE!</v>
      </c>
      <c r="I1041" t="e">
        <f t="shared" si="30"/>
        <v>#VALUE!</v>
      </c>
      <c r="J1041" t="e">
        <f t="shared" si="32"/>
        <v>#VALUE!</v>
      </c>
      <c r="K1041" t="e">
        <f t="shared" si="31"/>
        <v>#VALUE!</v>
      </c>
    </row>
    <row r="1042" spans="1:11" hidden="1" x14ac:dyDescent="0.25">
      <c r="A1042">
        <f t="shared" si="22"/>
        <v>0</v>
      </c>
      <c r="B1042" t="e">
        <f t="shared" si="23"/>
        <v>#VALUE!</v>
      </c>
      <c r="C1042" t="e">
        <f t="shared" si="24"/>
        <v>#VALUE!</v>
      </c>
      <c r="D1042" t="e">
        <f t="shared" si="25"/>
        <v>#VALUE!</v>
      </c>
      <c r="E1042" t="e">
        <f t="shared" si="26"/>
        <v>#VALUE!</v>
      </c>
      <c r="F1042" t="e">
        <f t="shared" si="27"/>
        <v>#VALUE!</v>
      </c>
      <c r="G1042" t="e">
        <f t="shared" si="28"/>
        <v>#VALUE!</v>
      </c>
      <c r="H1042" t="e">
        <f t="shared" si="29"/>
        <v>#VALUE!</v>
      </c>
      <c r="I1042" t="e">
        <f t="shared" si="30"/>
        <v>#VALUE!</v>
      </c>
      <c r="J1042" t="e">
        <f t="shared" si="32"/>
        <v>#VALUE!</v>
      </c>
      <c r="K1042" t="e">
        <f t="shared" si="31"/>
        <v>#VALUE!</v>
      </c>
    </row>
    <row r="1043" spans="1:11" hidden="1" x14ac:dyDescent="0.25">
      <c r="A1043">
        <f t="shared" si="22"/>
        <v>0</v>
      </c>
      <c r="B1043" t="e">
        <f t="shared" si="23"/>
        <v>#VALUE!</v>
      </c>
      <c r="C1043" t="e">
        <f t="shared" si="24"/>
        <v>#VALUE!</v>
      </c>
      <c r="D1043" t="e">
        <f t="shared" si="25"/>
        <v>#VALUE!</v>
      </c>
      <c r="E1043" t="e">
        <f t="shared" si="26"/>
        <v>#VALUE!</v>
      </c>
      <c r="F1043" t="e">
        <f t="shared" si="27"/>
        <v>#VALUE!</v>
      </c>
      <c r="G1043" t="e">
        <f t="shared" si="28"/>
        <v>#VALUE!</v>
      </c>
      <c r="H1043" t="e">
        <f t="shared" si="29"/>
        <v>#VALUE!</v>
      </c>
      <c r="I1043" t="e">
        <f t="shared" si="30"/>
        <v>#VALUE!</v>
      </c>
      <c r="J1043" t="e">
        <f t="shared" si="32"/>
        <v>#VALUE!</v>
      </c>
      <c r="K1043" t="e">
        <f t="shared" si="31"/>
        <v>#VALUE!</v>
      </c>
    </row>
    <row r="1044" spans="1:11" hidden="1" x14ac:dyDescent="0.25">
      <c r="A1044">
        <f t="shared" ref="A1044:A1107" si="33" xml:space="preserve"> IF(OR(LEFT(B204,1)= "T",LEFT(B204,1)= "G"),4,0)</f>
        <v>0</v>
      </c>
      <c r="B1044" t="e">
        <f t="shared" ref="B1044:B1107" si="34">MID(B204,2,1)*2</f>
        <v>#VALUE!</v>
      </c>
      <c r="C1044" t="e">
        <f t="shared" ref="C1044:C1107" si="35">MID(B204,3,1)*7</f>
        <v>#VALUE!</v>
      </c>
      <c r="D1044" t="e">
        <f t="shared" ref="D1044:D1107" si="36">MID(B204,4,1)*6</f>
        <v>#VALUE!</v>
      </c>
      <c r="E1044" t="e">
        <f t="shared" ref="E1044:E1107" si="37">MID(B204,5,1)*5</f>
        <v>#VALUE!</v>
      </c>
      <c r="F1044" t="e">
        <f t="shared" ref="F1044:F1107" si="38">MID(B204,6,1)*4</f>
        <v>#VALUE!</v>
      </c>
      <c r="G1044" t="e">
        <f t="shared" ref="G1044:G1107" si="39">MID(B204,7,1)*3</f>
        <v>#VALUE!</v>
      </c>
      <c r="H1044" t="e">
        <f t="shared" ref="H1044:H1107" si="40">MID(B204,8,1)*2</f>
        <v>#VALUE!</v>
      </c>
      <c r="I1044" t="e">
        <f t="shared" ref="I1044:I1107" si="41">IF(OR(LEFT(B204,1)="T",LEFT(B204,1)="G"),(SUM(B1044:H1044))+4,SUM(B1044:H1044))</f>
        <v>#VALUE!</v>
      </c>
      <c r="J1044" t="e">
        <f t="shared" si="32"/>
        <v>#VALUE!</v>
      </c>
      <c r="K1044" t="e">
        <f t="shared" ref="K1044:K1107" si="42" xml:space="preserve"> IF(OR(LEFT(B204,1)= "S",LEFT(B204,1)= "T"),VLOOKUP(J1044,$A$826:$B$836,2,FALSE), VLOOKUP(J1044,$A$840:$B$850,2,FALSE))</f>
        <v>#VALUE!</v>
      </c>
    </row>
    <row r="1045" spans="1:11" hidden="1" x14ac:dyDescent="0.25">
      <c r="A1045">
        <f t="shared" si="33"/>
        <v>0</v>
      </c>
      <c r="B1045" t="e">
        <f t="shared" si="34"/>
        <v>#VALUE!</v>
      </c>
      <c r="C1045" t="e">
        <f t="shared" si="35"/>
        <v>#VALUE!</v>
      </c>
      <c r="D1045" t="e">
        <f t="shared" si="36"/>
        <v>#VALUE!</v>
      </c>
      <c r="E1045" t="e">
        <f t="shared" si="37"/>
        <v>#VALUE!</v>
      </c>
      <c r="F1045" t="e">
        <f t="shared" si="38"/>
        <v>#VALUE!</v>
      </c>
      <c r="G1045" t="e">
        <f t="shared" si="39"/>
        <v>#VALUE!</v>
      </c>
      <c r="H1045" t="e">
        <f t="shared" si="40"/>
        <v>#VALUE!</v>
      </c>
      <c r="I1045" t="e">
        <f t="shared" si="41"/>
        <v>#VALUE!</v>
      </c>
      <c r="J1045" t="e">
        <f t="shared" ref="J1045:J1108" si="43">MOD(I1045,11)</f>
        <v>#VALUE!</v>
      </c>
      <c r="K1045" t="e">
        <f t="shared" si="42"/>
        <v>#VALUE!</v>
      </c>
    </row>
    <row r="1046" spans="1:11" hidden="1" x14ac:dyDescent="0.25">
      <c r="A1046">
        <f t="shared" si="33"/>
        <v>0</v>
      </c>
      <c r="B1046" t="e">
        <f t="shared" si="34"/>
        <v>#VALUE!</v>
      </c>
      <c r="C1046" t="e">
        <f t="shared" si="35"/>
        <v>#VALUE!</v>
      </c>
      <c r="D1046" t="e">
        <f t="shared" si="36"/>
        <v>#VALUE!</v>
      </c>
      <c r="E1046" t="e">
        <f t="shared" si="37"/>
        <v>#VALUE!</v>
      </c>
      <c r="F1046" t="e">
        <f t="shared" si="38"/>
        <v>#VALUE!</v>
      </c>
      <c r="G1046" t="e">
        <f t="shared" si="39"/>
        <v>#VALUE!</v>
      </c>
      <c r="H1046" t="e">
        <f t="shared" si="40"/>
        <v>#VALUE!</v>
      </c>
      <c r="I1046" t="e">
        <f t="shared" si="41"/>
        <v>#VALUE!</v>
      </c>
      <c r="J1046" t="e">
        <f t="shared" si="43"/>
        <v>#VALUE!</v>
      </c>
      <c r="K1046" t="e">
        <f t="shared" si="42"/>
        <v>#VALUE!</v>
      </c>
    </row>
    <row r="1047" spans="1:11" hidden="1" x14ac:dyDescent="0.25">
      <c r="A1047">
        <f t="shared" si="33"/>
        <v>0</v>
      </c>
      <c r="B1047" t="e">
        <f t="shared" si="34"/>
        <v>#VALUE!</v>
      </c>
      <c r="C1047" t="e">
        <f t="shared" si="35"/>
        <v>#VALUE!</v>
      </c>
      <c r="D1047" t="e">
        <f t="shared" si="36"/>
        <v>#VALUE!</v>
      </c>
      <c r="E1047" t="e">
        <f t="shared" si="37"/>
        <v>#VALUE!</v>
      </c>
      <c r="F1047" t="e">
        <f t="shared" si="38"/>
        <v>#VALUE!</v>
      </c>
      <c r="G1047" t="e">
        <f t="shared" si="39"/>
        <v>#VALUE!</v>
      </c>
      <c r="H1047" t="e">
        <f t="shared" si="40"/>
        <v>#VALUE!</v>
      </c>
      <c r="I1047" t="e">
        <f t="shared" si="41"/>
        <v>#VALUE!</v>
      </c>
      <c r="J1047" t="e">
        <f t="shared" si="43"/>
        <v>#VALUE!</v>
      </c>
      <c r="K1047" t="e">
        <f t="shared" si="42"/>
        <v>#VALUE!</v>
      </c>
    </row>
    <row r="1048" spans="1:11" hidden="1" x14ac:dyDescent="0.25">
      <c r="A1048">
        <f t="shared" si="33"/>
        <v>0</v>
      </c>
      <c r="B1048" t="e">
        <f t="shared" si="34"/>
        <v>#VALUE!</v>
      </c>
      <c r="C1048" t="e">
        <f t="shared" si="35"/>
        <v>#VALUE!</v>
      </c>
      <c r="D1048" t="e">
        <f t="shared" si="36"/>
        <v>#VALUE!</v>
      </c>
      <c r="E1048" t="e">
        <f t="shared" si="37"/>
        <v>#VALUE!</v>
      </c>
      <c r="F1048" t="e">
        <f t="shared" si="38"/>
        <v>#VALUE!</v>
      </c>
      <c r="G1048" t="e">
        <f t="shared" si="39"/>
        <v>#VALUE!</v>
      </c>
      <c r="H1048" t="e">
        <f t="shared" si="40"/>
        <v>#VALUE!</v>
      </c>
      <c r="I1048" t="e">
        <f t="shared" si="41"/>
        <v>#VALUE!</v>
      </c>
      <c r="J1048" t="e">
        <f t="shared" si="43"/>
        <v>#VALUE!</v>
      </c>
      <c r="K1048" t="e">
        <f t="shared" si="42"/>
        <v>#VALUE!</v>
      </c>
    </row>
    <row r="1049" spans="1:11" hidden="1" x14ac:dyDescent="0.25">
      <c r="A1049">
        <f t="shared" si="33"/>
        <v>0</v>
      </c>
      <c r="B1049" t="e">
        <f t="shared" si="34"/>
        <v>#VALUE!</v>
      </c>
      <c r="C1049" t="e">
        <f t="shared" si="35"/>
        <v>#VALUE!</v>
      </c>
      <c r="D1049" t="e">
        <f t="shared" si="36"/>
        <v>#VALUE!</v>
      </c>
      <c r="E1049" t="e">
        <f t="shared" si="37"/>
        <v>#VALUE!</v>
      </c>
      <c r="F1049" t="e">
        <f t="shared" si="38"/>
        <v>#VALUE!</v>
      </c>
      <c r="G1049" t="e">
        <f t="shared" si="39"/>
        <v>#VALUE!</v>
      </c>
      <c r="H1049" t="e">
        <f t="shared" si="40"/>
        <v>#VALUE!</v>
      </c>
      <c r="I1049" t="e">
        <f t="shared" si="41"/>
        <v>#VALUE!</v>
      </c>
      <c r="J1049" t="e">
        <f t="shared" si="43"/>
        <v>#VALUE!</v>
      </c>
      <c r="K1049" t="e">
        <f t="shared" si="42"/>
        <v>#VALUE!</v>
      </c>
    </row>
    <row r="1050" spans="1:11" hidden="1" x14ac:dyDescent="0.25">
      <c r="A1050">
        <f t="shared" si="33"/>
        <v>0</v>
      </c>
      <c r="B1050" t="e">
        <f t="shared" si="34"/>
        <v>#VALUE!</v>
      </c>
      <c r="C1050" t="e">
        <f t="shared" si="35"/>
        <v>#VALUE!</v>
      </c>
      <c r="D1050" t="e">
        <f t="shared" si="36"/>
        <v>#VALUE!</v>
      </c>
      <c r="E1050" t="e">
        <f t="shared" si="37"/>
        <v>#VALUE!</v>
      </c>
      <c r="F1050" t="e">
        <f t="shared" si="38"/>
        <v>#VALUE!</v>
      </c>
      <c r="G1050" t="e">
        <f t="shared" si="39"/>
        <v>#VALUE!</v>
      </c>
      <c r="H1050" t="e">
        <f t="shared" si="40"/>
        <v>#VALUE!</v>
      </c>
      <c r="I1050" t="e">
        <f t="shared" si="41"/>
        <v>#VALUE!</v>
      </c>
      <c r="J1050" t="e">
        <f t="shared" si="43"/>
        <v>#VALUE!</v>
      </c>
      <c r="K1050" t="e">
        <f t="shared" si="42"/>
        <v>#VALUE!</v>
      </c>
    </row>
    <row r="1051" spans="1:11" hidden="1" x14ac:dyDescent="0.25">
      <c r="A1051">
        <f t="shared" si="33"/>
        <v>0</v>
      </c>
      <c r="B1051" t="e">
        <f t="shared" si="34"/>
        <v>#VALUE!</v>
      </c>
      <c r="C1051" t="e">
        <f t="shared" si="35"/>
        <v>#VALUE!</v>
      </c>
      <c r="D1051" t="e">
        <f t="shared" si="36"/>
        <v>#VALUE!</v>
      </c>
      <c r="E1051" t="e">
        <f t="shared" si="37"/>
        <v>#VALUE!</v>
      </c>
      <c r="F1051" t="e">
        <f t="shared" si="38"/>
        <v>#VALUE!</v>
      </c>
      <c r="G1051" t="e">
        <f t="shared" si="39"/>
        <v>#VALUE!</v>
      </c>
      <c r="H1051" t="e">
        <f t="shared" si="40"/>
        <v>#VALUE!</v>
      </c>
      <c r="I1051" t="e">
        <f t="shared" si="41"/>
        <v>#VALUE!</v>
      </c>
      <c r="J1051" t="e">
        <f t="shared" si="43"/>
        <v>#VALUE!</v>
      </c>
      <c r="K1051" t="e">
        <f t="shared" si="42"/>
        <v>#VALUE!</v>
      </c>
    </row>
    <row r="1052" spans="1:11" hidden="1" x14ac:dyDescent="0.25">
      <c r="A1052">
        <f t="shared" si="33"/>
        <v>0</v>
      </c>
      <c r="B1052" t="e">
        <f t="shared" si="34"/>
        <v>#VALUE!</v>
      </c>
      <c r="C1052" t="e">
        <f t="shared" si="35"/>
        <v>#VALUE!</v>
      </c>
      <c r="D1052" t="e">
        <f t="shared" si="36"/>
        <v>#VALUE!</v>
      </c>
      <c r="E1052" t="e">
        <f t="shared" si="37"/>
        <v>#VALUE!</v>
      </c>
      <c r="F1052" t="e">
        <f t="shared" si="38"/>
        <v>#VALUE!</v>
      </c>
      <c r="G1052" t="e">
        <f t="shared" si="39"/>
        <v>#VALUE!</v>
      </c>
      <c r="H1052" t="e">
        <f t="shared" si="40"/>
        <v>#VALUE!</v>
      </c>
      <c r="I1052" t="e">
        <f t="shared" si="41"/>
        <v>#VALUE!</v>
      </c>
      <c r="J1052" t="e">
        <f t="shared" si="43"/>
        <v>#VALUE!</v>
      </c>
      <c r="K1052" t="e">
        <f t="shared" si="42"/>
        <v>#VALUE!</v>
      </c>
    </row>
    <row r="1053" spans="1:11" hidden="1" x14ac:dyDescent="0.25">
      <c r="A1053">
        <f t="shared" si="33"/>
        <v>0</v>
      </c>
      <c r="B1053" t="e">
        <f t="shared" si="34"/>
        <v>#VALUE!</v>
      </c>
      <c r="C1053" t="e">
        <f t="shared" si="35"/>
        <v>#VALUE!</v>
      </c>
      <c r="D1053" t="e">
        <f t="shared" si="36"/>
        <v>#VALUE!</v>
      </c>
      <c r="E1053" t="e">
        <f t="shared" si="37"/>
        <v>#VALUE!</v>
      </c>
      <c r="F1053" t="e">
        <f t="shared" si="38"/>
        <v>#VALUE!</v>
      </c>
      <c r="G1053" t="e">
        <f t="shared" si="39"/>
        <v>#VALUE!</v>
      </c>
      <c r="H1053" t="e">
        <f t="shared" si="40"/>
        <v>#VALUE!</v>
      </c>
      <c r="I1053" t="e">
        <f t="shared" si="41"/>
        <v>#VALUE!</v>
      </c>
      <c r="J1053" t="e">
        <f t="shared" si="43"/>
        <v>#VALUE!</v>
      </c>
      <c r="K1053" t="e">
        <f t="shared" si="42"/>
        <v>#VALUE!</v>
      </c>
    </row>
    <row r="1054" spans="1:11" hidden="1" x14ac:dyDescent="0.25">
      <c r="A1054">
        <f t="shared" si="33"/>
        <v>0</v>
      </c>
      <c r="B1054" t="e">
        <f t="shared" si="34"/>
        <v>#VALUE!</v>
      </c>
      <c r="C1054" t="e">
        <f t="shared" si="35"/>
        <v>#VALUE!</v>
      </c>
      <c r="D1054" t="e">
        <f t="shared" si="36"/>
        <v>#VALUE!</v>
      </c>
      <c r="E1054" t="e">
        <f t="shared" si="37"/>
        <v>#VALUE!</v>
      </c>
      <c r="F1054" t="e">
        <f t="shared" si="38"/>
        <v>#VALUE!</v>
      </c>
      <c r="G1054" t="e">
        <f t="shared" si="39"/>
        <v>#VALUE!</v>
      </c>
      <c r="H1054" t="e">
        <f t="shared" si="40"/>
        <v>#VALUE!</v>
      </c>
      <c r="I1054" t="e">
        <f t="shared" si="41"/>
        <v>#VALUE!</v>
      </c>
      <c r="J1054" t="e">
        <f t="shared" si="43"/>
        <v>#VALUE!</v>
      </c>
      <c r="K1054" t="e">
        <f t="shared" si="42"/>
        <v>#VALUE!</v>
      </c>
    </row>
    <row r="1055" spans="1:11" hidden="1" x14ac:dyDescent="0.25">
      <c r="A1055">
        <f t="shared" si="33"/>
        <v>0</v>
      </c>
      <c r="B1055" t="e">
        <f t="shared" si="34"/>
        <v>#VALUE!</v>
      </c>
      <c r="C1055" t="e">
        <f t="shared" si="35"/>
        <v>#VALUE!</v>
      </c>
      <c r="D1055" t="e">
        <f t="shared" si="36"/>
        <v>#VALUE!</v>
      </c>
      <c r="E1055" t="e">
        <f t="shared" si="37"/>
        <v>#VALUE!</v>
      </c>
      <c r="F1055" t="e">
        <f t="shared" si="38"/>
        <v>#VALUE!</v>
      </c>
      <c r="G1055" t="e">
        <f t="shared" si="39"/>
        <v>#VALUE!</v>
      </c>
      <c r="H1055" t="e">
        <f t="shared" si="40"/>
        <v>#VALUE!</v>
      </c>
      <c r="I1055" t="e">
        <f t="shared" si="41"/>
        <v>#VALUE!</v>
      </c>
      <c r="J1055" t="e">
        <f t="shared" si="43"/>
        <v>#VALUE!</v>
      </c>
      <c r="K1055" t="e">
        <f t="shared" si="42"/>
        <v>#VALUE!</v>
      </c>
    </row>
    <row r="1056" spans="1:11" hidden="1" x14ac:dyDescent="0.25">
      <c r="A1056">
        <f t="shared" si="33"/>
        <v>0</v>
      </c>
      <c r="B1056" t="e">
        <f t="shared" si="34"/>
        <v>#VALUE!</v>
      </c>
      <c r="C1056" t="e">
        <f t="shared" si="35"/>
        <v>#VALUE!</v>
      </c>
      <c r="D1056" t="e">
        <f t="shared" si="36"/>
        <v>#VALUE!</v>
      </c>
      <c r="E1056" t="e">
        <f t="shared" si="37"/>
        <v>#VALUE!</v>
      </c>
      <c r="F1056" t="e">
        <f t="shared" si="38"/>
        <v>#VALUE!</v>
      </c>
      <c r="G1056" t="e">
        <f t="shared" si="39"/>
        <v>#VALUE!</v>
      </c>
      <c r="H1056" t="e">
        <f t="shared" si="40"/>
        <v>#VALUE!</v>
      </c>
      <c r="I1056" t="e">
        <f t="shared" si="41"/>
        <v>#VALUE!</v>
      </c>
      <c r="J1056" t="e">
        <f t="shared" si="43"/>
        <v>#VALUE!</v>
      </c>
      <c r="K1056" t="e">
        <f t="shared" si="42"/>
        <v>#VALUE!</v>
      </c>
    </row>
    <row r="1057" spans="1:11" hidden="1" x14ac:dyDescent="0.25">
      <c r="A1057">
        <f t="shared" si="33"/>
        <v>0</v>
      </c>
      <c r="B1057" t="e">
        <f t="shared" si="34"/>
        <v>#VALUE!</v>
      </c>
      <c r="C1057" t="e">
        <f t="shared" si="35"/>
        <v>#VALUE!</v>
      </c>
      <c r="D1057" t="e">
        <f t="shared" si="36"/>
        <v>#VALUE!</v>
      </c>
      <c r="E1057" t="e">
        <f t="shared" si="37"/>
        <v>#VALUE!</v>
      </c>
      <c r="F1057" t="e">
        <f t="shared" si="38"/>
        <v>#VALUE!</v>
      </c>
      <c r="G1057" t="e">
        <f t="shared" si="39"/>
        <v>#VALUE!</v>
      </c>
      <c r="H1057" t="e">
        <f t="shared" si="40"/>
        <v>#VALUE!</v>
      </c>
      <c r="I1057" t="e">
        <f t="shared" si="41"/>
        <v>#VALUE!</v>
      </c>
      <c r="J1057" t="e">
        <f t="shared" si="43"/>
        <v>#VALUE!</v>
      </c>
      <c r="K1057" t="e">
        <f t="shared" si="42"/>
        <v>#VALUE!</v>
      </c>
    </row>
    <row r="1058" spans="1:11" hidden="1" x14ac:dyDescent="0.25">
      <c r="A1058">
        <f t="shared" si="33"/>
        <v>0</v>
      </c>
      <c r="B1058" t="e">
        <f t="shared" si="34"/>
        <v>#VALUE!</v>
      </c>
      <c r="C1058" t="e">
        <f t="shared" si="35"/>
        <v>#VALUE!</v>
      </c>
      <c r="D1058" t="e">
        <f t="shared" si="36"/>
        <v>#VALUE!</v>
      </c>
      <c r="E1058" t="e">
        <f t="shared" si="37"/>
        <v>#VALUE!</v>
      </c>
      <c r="F1058" t="e">
        <f t="shared" si="38"/>
        <v>#VALUE!</v>
      </c>
      <c r="G1058" t="e">
        <f t="shared" si="39"/>
        <v>#VALUE!</v>
      </c>
      <c r="H1058" t="e">
        <f t="shared" si="40"/>
        <v>#VALUE!</v>
      </c>
      <c r="I1058" t="e">
        <f t="shared" si="41"/>
        <v>#VALUE!</v>
      </c>
      <c r="J1058" t="e">
        <f t="shared" si="43"/>
        <v>#VALUE!</v>
      </c>
      <c r="K1058" t="e">
        <f t="shared" si="42"/>
        <v>#VALUE!</v>
      </c>
    </row>
    <row r="1059" spans="1:11" hidden="1" x14ac:dyDescent="0.25">
      <c r="A1059">
        <f t="shared" si="33"/>
        <v>0</v>
      </c>
      <c r="B1059" t="e">
        <f t="shared" si="34"/>
        <v>#VALUE!</v>
      </c>
      <c r="C1059" t="e">
        <f t="shared" si="35"/>
        <v>#VALUE!</v>
      </c>
      <c r="D1059" t="e">
        <f t="shared" si="36"/>
        <v>#VALUE!</v>
      </c>
      <c r="E1059" t="e">
        <f t="shared" si="37"/>
        <v>#VALUE!</v>
      </c>
      <c r="F1059" t="e">
        <f t="shared" si="38"/>
        <v>#VALUE!</v>
      </c>
      <c r="G1059" t="e">
        <f t="shared" si="39"/>
        <v>#VALUE!</v>
      </c>
      <c r="H1059" t="e">
        <f t="shared" si="40"/>
        <v>#VALUE!</v>
      </c>
      <c r="I1059" t="e">
        <f t="shared" si="41"/>
        <v>#VALUE!</v>
      </c>
      <c r="J1059" t="e">
        <f t="shared" si="43"/>
        <v>#VALUE!</v>
      </c>
      <c r="K1059" t="e">
        <f t="shared" si="42"/>
        <v>#VALUE!</v>
      </c>
    </row>
    <row r="1060" spans="1:11" hidden="1" x14ac:dyDescent="0.25">
      <c r="A1060">
        <f t="shared" si="33"/>
        <v>0</v>
      </c>
      <c r="B1060" t="e">
        <f t="shared" si="34"/>
        <v>#VALUE!</v>
      </c>
      <c r="C1060" t="e">
        <f t="shared" si="35"/>
        <v>#VALUE!</v>
      </c>
      <c r="D1060" t="e">
        <f t="shared" si="36"/>
        <v>#VALUE!</v>
      </c>
      <c r="E1060" t="e">
        <f t="shared" si="37"/>
        <v>#VALUE!</v>
      </c>
      <c r="F1060" t="e">
        <f t="shared" si="38"/>
        <v>#VALUE!</v>
      </c>
      <c r="G1060" t="e">
        <f t="shared" si="39"/>
        <v>#VALUE!</v>
      </c>
      <c r="H1060" t="e">
        <f t="shared" si="40"/>
        <v>#VALUE!</v>
      </c>
      <c r="I1060" t="e">
        <f t="shared" si="41"/>
        <v>#VALUE!</v>
      </c>
      <c r="J1060" t="e">
        <f t="shared" si="43"/>
        <v>#VALUE!</v>
      </c>
      <c r="K1060" t="e">
        <f t="shared" si="42"/>
        <v>#VALUE!</v>
      </c>
    </row>
    <row r="1061" spans="1:11" hidden="1" x14ac:dyDescent="0.25">
      <c r="A1061">
        <f t="shared" si="33"/>
        <v>0</v>
      </c>
      <c r="B1061" t="e">
        <f t="shared" si="34"/>
        <v>#VALUE!</v>
      </c>
      <c r="C1061" t="e">
        <f t="shared" si="35"/>
        <v>#VALUE!</v>
      </c>
      <c r="D1061" t="e">
        <f t="shared" si="36"/>
        <v>#VALUE!</v>
      </c>
      <c r="E1061" t="e">
        <f t="shared" si="37"/>
        <v>#VALUE!</v>
      </c>
      <c r="F1061" t="e">
        <f t="shared" si="38"/>
        <v>#VALUE!</v>
      </c>
      <c r="G1061" t="e">
        <f t="shared" si="39"/>
        <v>#VALUE!</v>
      </c>
      <c r="H1061" t="e">
        <f t="shared" si="40"/>
        <v>#VALUE!</v>
      </c>
      <c r="I1061" t="e">
        <f t="shared" si="41"/>
        <v>#VALUE!</v>
      </c>
      <c r="J1061" t="e">
        <f t="shared" si="43"/>
        <v>#VALUE!</v>
      </c>
      <c r="K1061" t="e">
        <f t="shared" si="42"/>
        <v>#VALUE!</v>
      </c>
    </row>
    <row r="1062" spans="1:11" hidden="1" x14ac:dyDescent="0.25">
      <c r="A1062">
        <f t="shared" si="33"/>
        <v>0</v>
      </c>
      <c r="B1062" t="e">
        <f t="shared" si="34"/>
        <v>#VALUE!</v>
      </c>
      <c r="C1062" t="e">
        <f t="shared" si="35"/>
        <v>#VALUE!</v>
      </c>
      <c r="D1062" t="e">
        <f t="shared" si="36"/>
        <v>#VALUE!</v>
      </c>
      <c r="E1062" t="e">
        <f t="shared" si="37"/>
        <v>#VALUE!</v>
      </c>
      <c r="F1062" t="e">
        <f t="shared" si="38"/>
        <v>#VALUE!</v>
      </c>
      <c r="G1062" t="e">
        <f t="shared" si="39"/>
        <v>#VALUE!</v>
      </c>
      <c r="H1062" t="e">
        <f t="shared" si="40"/>
        <v>#VALUE!</v>
      </c>
      <c r="I1062" t="e">
        <f t="shared" si="41"/>
        <v>#VALUE!</v>
      </c>
      <c r="J1062" t="e">
        <f t="shared" si="43"/>
        <v>#VALUE!</v>
      </c>
      <c r="K1062" t="e">
        <f t="shared" si="42"/>
        <v>#VALUE!</v>
      </c>
    </row>
    <row r="1063" spans="1:11" hidden="1" x14ac:dyDescent="0.25">
      <c r="A1063">
        <f t="shared" si="33"/>
        <v>0</v>
      </c>
      <c r="B1063" t="e">
        <f t="shared" si="34"/>
        <v>#VALUE!</v>
      </c>
      <c r="C1063" t="e">
        <f t="shared" si="35"/>
        <v>#VALUE!</v>
      </c>
      <c r="D1063" t="e">
        <f t="shared" si="36"/>
        <v>#VALUE!</v>
      </c>
      <c r="E1063" t="e">
        <f t="shared" si="37"/>
        <v>#VALUE!</v>
      </c>
      <c r="F1063" t="e">
        <f t="shared" si="38"/>
        <v>#VALUE!</v>
      </c>
      <c r="G1063" t="e">
        <f t="shared" si="39"/>
        <v>#VALUE!</v>
      </c>
      <c r="H1063" t="e">
        <f t="shared" si="40"/>
        <v>#VALUE!</v>
      </c>
      <c r="I1063" t="e">
        <f t="shared" si="41"/>
        <v>#VALUE!</v>
      </c>
      <c r="J1063" t="e">
        <f t="shared" si="43"/>
        <v>#VALUE!</v>
      </c>
      <c r="K1063" t="e">
        <f t="shared" si="42"/>
        <v>#VALUE!</v>
      </c>
    </row>
    <row r="1064" spans="1:11" hidden="1" x14ac:dyDescent="0.25">
      <c r="A1064">
        <f t="shared" si="33"/>
        <v>0</v>
      </c>
      <c r="B1064" t="e">
        <f t="shared" si="34"/>
        <v>#VALUE!</v>
      </c>
      <c r="C1064" t="e">
        <f t="shared" si="35"/>
        <v>#VALUE!</v>
      </c>
      <c r="D1064" t="e">
        <f t="shared" si="36"/>
        <v>#VALUE!</v>
      </c>
      <c r="E1064" t="e">
        <f t="shared" si="37"/>
        <v>#VALUE!</v>
      </c>
      <c r="F1064" t="e">
        <f t="shared" si="38"/>
        <v>#VALUE!</v>
      </c>
      <c r="G1064" t="e">
        <f t="shared" si="39"/>
        <v>#VALUE!</v>
      </c>
      <c r="H1064" t="e">
        <f t="shared" si="40"/>
        <v>#VALUE!</v>
      </c>
      <c r="I1064" t="e">
        <f t="shared" si="41"/>
        <v>#VALUE!</v>
      </c>
      <c r="J1064" t="e">
        <f t="shared" si="43"/>
        <v>#VALUE!</v>
      </c>
      <c r="K1064" t="e">
        <f t="shared" si="42"/>
        <v>#VALUE!</v>
      </c>
    </row>
    <row r="1065" spans="1:11" hidden="1" x14ac:dyDescent="0.25">
      <c r="A1065">
        <f t="shared" si="33"/>
        <v>0</v>
      </c>
      <c r="B1065" t="e">
        <f t="shared" si="34"/>
        <v>#VALUE!</v>
      </c>
      <c r="C1065" t="e">
        <f t="shared" si="35"/>
        <v>#VALUE!</v>
      </c>
      <c r="D1065" t="e">
        <f t="shared" si="36"/>
        <v>#VALUE!</v>
      </c>
      <c r="E1065" t="e">
        <f t="shared" si="37"/>
        <v>#VALUE!</v>
      </c>
      <c r="F1065" t="e">
        <f t="shared" si="38"/>
        <v>#VALUE!</v>
      </c>
      <c r="G1065" t="e">
        <f t="shared" si="39"/>
        <v>#VALUE!</v>
      </c>
      <c r="H1065" t="e">
        <f t="shared" si="40"/>
        <v>#VALUE!</v>
      </c>
      <c r="I1065" t="e">
        <f t="shared" si="41"/>
        <v>#VALUE!</v>
      </c>
      <c r="J1065" t="e">
        <f t="shared" si="43"/>
        <v>#VALUE!</v>
      </c>
      <c r="K1065" t="e">
        <f t="shared" si="42"/>
        <v>#VALUE!</v>
      </c>
    </row>
    <row r="1066" spans="1:11" hidden="1" x14ac:dyDescent="0.25">
      <c r="A1066">
        <f t="shared" si="33"/>
        <v>0</v>
      </c>
      <c r="B1066" t="e">
        <f t="shared" si="34"/>
        <v>#VALUE!</v>
      </c>
      <c r="C1066" t="e">
        <f t="shared" si="35"/>
        <v>#VALUE!</v>
      </c>
      <c r="D1066" t="e">
        <f t="shared" si="36"/>
        <v>#VALUE!</v>
      </c>
      <c r="E1066" t="e">
        <f t="shared" si="37"/>
        <v>#VALUE!</v>
      </c>
      <c r="F1066" t="e">
        <f t="shared" si="38"/>
        <v>#VALUE!</v>
      </c>
      <c r="G1066" t="e">
        <f t="shared" si="39"/>
        <v>#VALUE!</v>
      </c>
      <c r="H1066" t="e">
        <f t="shared" si="40"/>
        <v>#VALUE!</v>
      </c>
      <c r="I1066" t="e">
        <f t="shared" si="41"/>
        <v>#VALUE!</v>
      </c>
      <c r="J1066" t="e">
        <f t="shared" si="43"/>
        <v>#VALUE!</v>
      </c>
      <c r="K1066" t="e">
        <f t="shared" si="42"/>
        <v>#VALUE!</v>
      </c>
    </row>
    <row r="1067" spans="1:11" hidden="1" x14ac:dyDescent="0.25">
      <c r="A1067">
        <f t="shared" si="33"/>
        <v>0</v>
      </c>
      <c r="B1067" t="e">
        <f t="shared" si="34"/>
        <v>#VALUE!</v>
      </c>
      <c r="C1067" t="e">
        <f t="shared" si="35"/>
        <v>#VALUE!</v>
      </c>
      <c r="D1067" t="e">
        <f t="shared" si="36"/>
        <v>#VALUE!</v>
      </c>
      <c r="E1067" t="e">
        <f t="shared" si="37"/>
        <v>#VALUE!</v>
      </c>
      <c r="F1067" t="e">
        <f t="shared" si="38"/>
        <v>#VALUE!</v>
      </c>
      <c r="G1067" t="e">
        <f t="shared" si="39"/>
        <v>#VALUE!</v>
      </c>
      <c r="H1067" t="e">
        <f t="shared" si="40"/>
        <v>#VALUE!</v>
      </c>
      <c r="I1067" t="e">
        <f t="shared" si="41"/>
        <v>#VALUE!</v>
      </c>
      <c r="J1067" t="e">
        <f t="shared" si="43"/>
        <v>#VALUE!</v>
      </c>
      <c r="K1067" t="e">
        <f t="shared" si="42"/>
        <v>#VALUE!</v>
      </c>
    </row>
    <row r="1068" spans="1:11" hidden="1" x14ac:dyDescent="0.25">
      <c r="A1068">
        <f t="shared" si="33"/>
        <v>0</v>
      </c>
      <c r="B1068" t="e">
        <f t="shared" si="34"/>
        <v>#VALUE!</v>
      </c>
      <c r="C1068" t="e">
        <f t="shared" si="35"/>
        <v>#VALUE!</v>
      </c>
      <c r="D1068" t="e">
        <f t="shared" si="36"/>
        <v>#VALUE!</v>
      </c>
      <c r="E1068" t="e">
        <f t="shared" si="37"/>
        <v>#VALUE!</v>
      </c>
      <c r="F1068" t="e">
        <f t="shared" si="38"/>
        <v>#VALUE!</v>
      </c>
      <c r="G1068" t="e">
        <f t="shared" si="39"/>
        <v>#VALUE!</v>
      </c>
      <c r="H1068" t="e">
        <f t="shared" si="40"/>
        <v>#VALUE!</v>
      </c>
      <c r="I1068" t="e">
        <f t="shared" si="41"/>
        <v>#VALUE!</v>
      </c>
      <c r="J1068" t="e">
        <f t="shared" si="43"/>
        <v>#VALUE!</v>
      </c>
      <c r="K1068" t="e">
        <f t="shared" si="42"/>
        <v>#VALUE!</v>
      </c>
    </row>
    <row r="1069" spans="1:11" hidden="1" x14ac:dyDescent="0.25">
      <c r="A1069">
        <f t="shared" si="33"/>
        <v>0</v>
      </c>
      <c r="B1069" t="e">
        <f t="shared" si="34"/>
        <v>#VALUE!</v>
      </c>
      <c r="C1069" t="e">
        <f t="shared" si="35"/>
        <v>#VALUE!</v>
      </c>
      <c r="D1069" t="e">
        <f t="shared" si="36"/>
        <v>#VALUE!</v>
      </c>
      <c r="E1069" t="e">
        <f t="shared" si="37"/>
        <v>#VALUE!</v>
      </c>
      <c r="F1069" t="e">
        <f t="shared" si="38"/>
        <v>#VALUE!</v>
      </c>
      <c r="G1069" t="e">
        <f t="shared" si="39"/>
        <v>#VALUE!</v>
      </c>
      <c r="H1069" t="e">
        <f t="shared" si="40"/>
        <v>#VALUE!</v>
      </c>
      <c r="I1069" t="e">
        <f t="shared" si="41"/>
        <v>#VALUE!</v>
      </c>
      <c r="J1069" t="e">
        <f t="shared" si="43"/>
        <v>#VALUE!</v>
      </c>
      <c r="K1069" t="e">
        <f t="shared" si="42"/>
        <v>#VALUE!</v>
      </c>
    </row>
    <row r="1070" spans="1:11" hidden="1" x14ac:dyDescent="0.25">
      <c r="A1070">
        <f t="shared" si="33"/>
        <v>0</v>
      </c>
      <c r="B1070" t="e">
        <f t="shared" si="34"/>
        <v>#VALUE!</v>
      </c>
      <c r="C1070" t="e">
        <f t="shared" si="35"/>
        <v>#VALUE!</v>
      </c>
      <c r="D1070" t="e">
        <f t="shared" si="36"/>
        <v>#VALUE!</v>
      </c>
      <c r="E1070" t="e">
        <f t="shared" si="37"/>
        <v>#VALUE!</v>
      </c>
      <c r="F1070" t="e">
        <f t="shared" si="38"/>
        <v>#VALUE!</v>
      </c>
      <c r="G1070" t="e">
        <f t="shared" si="39"/>
        <v>#VALUE!</v>
      </c>
      <c r="H1070" t="e">
        <f t="shared" si="40"/>
        <v>#VALUE!</v>
      </c>
      <c r="I1070" t="e">
        <f t="shared" si="41"/>
        <v>#VALUE!</v>
      </c>
      <c r="J1070" t="e">
        <f t="shared" si="43"/>
        <v>#VALUE!</v>
      </c>
      <c r="K1070" t="e">
        <f t="shared" si="42"/>
        <v>#VALUE!</v>
      </c>
    </row>
    <row r="1071" spans="1:11" hidden="1" x14ac:dyDescent="0.25">
      <c r="A1071">
        <f t="shared" si="33"/>
        <v>0</v>
      </c>
      <c r="B1071" t="e">
        <f t="shared" si="34"/>
        <v>#VALUE!</v>
      </c>
      <c r="C1071" t="e">
        <f t="shared" si="35"/>
        <v>#VALUE!</v>
      </c>
      <c r="D1071" t="e">
        <f t="shared" si="36"/>
        <v>#VALUE!</v>
      </c>
      <c r="E1071" t="e">
        <f t="shared" si="37"/>
        <v>#VALUE!</v>
      </c>
      <c r="F1071" t="e">
        <f t="shared" si="38"/>
        <v>#VALUE!</v>
      </c>
      <c r="G1071" t="e">
        <f t="shared" si="39"/>
        <v>#VALUE!</v>
      </c>
      <c r="H1071" t="e">
        <f t="shared" si="40"/>
        <v>#VALUE!</v>
      </c>
      <c r="I1071" t="e">
        <f t="shared" si="41"/>
        <v>#VALUE!</v>
      </c>
      <c r="J1071" t="e">
        <f t="shared" si="43"/>
        <v>#VALUE!</v>
      </c>
      <c r="K1071" t="e">
        <f t="shared" si="42"/>
        <v>#VALUE!</v>
      </c>
    </row>
    <row r="1072" spans="1:11" hidden="1" x14ac:dyDescent="0.25">
      <c r="A1072">
        <f t="shared" si="33"/>
        <v>0</v>
      </c>
      <c r="B1072" t="e">
        <f t="shared" si="34"/>
        <v>#VALUE!</v>
      </c>
      <c r="C1072" t="e">
        <f t="shared" si="35"/>
        <v>#VALUE!</v>
      </c>
      <c r="D1072" t="e">
        <f t="shared" si="36"/>
        <v>#VALUE!</v>
      </c>
      <c r="E1072" t="e">
        <f t="shared" si="37"/>
        <v>#VALUE!</v>
      </c>
      <c r="F1072" t="e">
        <f t="shared" si="38"/>
        <v>#VALUE!</v>
      </c>
      <c r="G1072" t="e">
        <f t="shared" si="39"/>
        <v>#VALUE!</v>
      </c>
      <c r="H1072" t="e">
        <f t="shared" si="40"/>
        <v>#VALUE!</v>
      </c>
      <c r="I1072" t="e">
        <f t="shared" si="41"/>
        <v>#VALUE!</v>
      </c>
      <c r="J1072" t="e">
        <f t="shared" si="43"/>
        <v>#VALUE!</v>
      </c>
      <c r="K1072" t="e">
        <f t="shared" si="42"/>
        <v>#VALUE!</v>
      </c>
    </row>
    <row r="1073" spans="1:11" hidden="1" x14ac:dyDescent="0.25">
      <c r="A1073">
        <f t="shared" si="33"/>
        <v>0</v>
      </c>
      <c r="B1073" t="e">
        <f t="shared" si="34"/>
        <v>#VALUE!</v>
      </c>
      <c r="C1073" t="e">
        <f t="shared" si="35"/>
        <v>#VALUE!</v>
      </c>
      <c r="D1073" t="e">
        <f t="shared" si="36"/>
        <v>#VALUE!</v>
      </c>
      <c r="E1073" t="e">
        <f t="shared" si="37"/>
        <v>#VALUE!</v>
      </c>
      <c r="F1073" t="e">
        <f t="shared" si="38"/>
        <v>#VALUE!</v>
      </c>
      <c r="G1073" t="e">
        <f t="shared" si="39"/>
        <v>#VALUE!</v>
      </c>
      <c r="H1073" t="e">
        <f t="shared" si="40"/>
        <v>#VALUE!</v>
      </c>
      <c r="I1073" t="e">
        <f t="shared" si="41"/>
        <v>#VALUE!</v>
      </c>
      <c r="J1073" t="e">
        <f t="shared" si="43"/>
        <v>#VALUE!</v>
      </c>
      <c r="K1073" t="e">
        <f t="shared" si="42"/>
        <v>#VALUE!</v>
      </c>
    </row>
    <row r="1074" spans="1:11" hidden="1" x14ac:dyDescent="0.25">
      <c r="A1074">
        <f t="shared" si="33"/>
        <v>0</v>
      </c>
      <c r="B1074" t="e">
        <f t="shared" si="34"/>
        <v>#VALUE!</v>
      </c>
      <c r="C1074" t="e">
        <f t="shared" si="35"/>
        <v>#VALUE!</v>
      </c>
      <c r="D1074" t="e">
        <f t="shared" si="36"/>
        <v>#VALUE!</v>
      </c>
      <c r="E1074" t="e">
        <f t="shared" si="37"/>
        <v>#VALUE!</v>
      </c>
      <c r="F1074" t="e">
        <f t="shared" si="38"/>
        <v>#VALUE!</v>
      </c>
      <c r="G1074" t="e">
        <f t="shared" si="39"/>
        <v>#VALUE!</v>
      </c>
      <c r="H1074" t="e">
        <f t="shared" si="40"/>
        <v>#VALUE!</v>
      </c>
      <c r="I1074" t="e">
        <f t="shared" si="41"/>
        <v>#VALUE!</v>
      </c>
      <c r="J1074" t="e">
        <f t="shared" si="43"/>
        <v>#VALUE!</v>
      </c>
      <c r="K1074" t="e">
        <f t="shared" si="42"/>
        <v>#VALUE!</v>
      </c>
    </row>
    <row r="1075" spans="1:11" hidden="1" x14ac:dyDescent="0.25">
      <c r="A1075">
        <f t="shared" si="33"/>
        <v>0</v>
      </c>
      <c r="B1075" t="e">
        <f t="shared" si="34"/>
        <v>#VALUE!</v>
      </c>
      <c r="C1075" t="e">
        <f t="shared" si="35"/>
        <v>#VALUE!</v>
      </c>
      <c r="D1075" t="e">
        <f t="shared" si="36"/>
        <v>#VALUE!</v>
      </c>
      <c r="E1075" t="e">
        <f t="shared" si="37"/>
        <v>#VALUE!</v>
      </c>
      <c r="F1075" t="e">
        <f t="shared" si="38"/>
        <v>#VALUE!</v>
      </c>
      <c r="G1075" t="e">
        <f t="shared" si="39"/>
        <v>#VALUE!</v>
      </c>
      <c r="H1075" t="e">
        <f t="shared" si="40"/>
        <v>#VALUE!</v>
      </c>
      <c r="I1075" t="e">
        <f t="shared" si="41"/>
        <v>#VALUE!</v>
      </c>
      <c r="J1075" t="e">
        <f t="shared" si="43"/>
        <v>#VALUE!</v>
      </c>
      <c r="K1075" t="e">
        <f t="shared" si="42"/>
        <v>#VALUE!</v>
      </c>
    </row>
    <row r="1076" spans="1:11" hidden="1" x14ac:dyDescent="0.25">
      <c r="A1076">
        <f t="shared" si="33"/>
        <v>0</v>
      </c>
      <c r="B1076" t="e">
        <f t="shared" si="34"/>
        <v>#VALUE!</v>
      </c>
      <c r="C1076" t="e">
        <f t="shared" si="35"/>
        <v>#VALUE!</v>
      </c>
      <c r="D1076" t="e">
        <f t="shared" si="36"/>
        <v>#VALUE!</v>
      </c>
      <c r="E1076" t="e">
        <f t="shared" si="37"/>
        <v>#VALUE!</v>
      </c>
      <c r="F1076" t="e">
        <f t="shared" si="38"/>
        <v>#VALUE!</v>
      </c>
      <c r="G1076" t="e">
        <f t="shared" si="39"/>
        <v>#VALUE!</v>
      </c>
      <c r="H1076" t="e">
        <f t="shared" si="40"/>
        <v>#VALUE!</v>
      </c>
      <c r="I1076" t="e">
        <f t="shared" si="41"/>
        <v>#VALUE!</v>
      </c>
      <c r="J1076" t="e">
        <f t="shared" si="43"/>
        <v>#VALUE!</v>
      </c>
      <c r="K1076" t="e">
        <f t="shared" si="42"/>
        <v>#VALUE!</v>
      </c>
    </row>
    <row r="1077" spans="1:11" hidden="1" x14ac:dyDescent="0.25">
      <c r="A1077">
        <f t="shared" si="33"/>
        <v>0</v>
      </c>
      <c r="B1077" t="e">
        <f t="shared" si="34"/>
        <v>#VALUE!</v>
      </c>
      <c r="C1077" t="e">
        <f t="shared" si="35"/>
        <v>#VALUE!</v>
      </c>
      <c r="D1077" t="e">
        <f t="shared" si="36"/>
        <v>#VALUE!</v>
      </c>
      <c r="E1077" t="e">
        <f t="shared" si="37"/>
        <v>#VALUE!</v>
      </c>
      <c r="F1077" t="e">
        <f t="shared" si="38"/>
        <v>#VALUE!</v>
      </c>
      <c r="G1077" t="e">
        <f t="shared" si="39"/>
        <v>#VALUE!</v>
      </c>
      <c r="H1077" t="e">
        <f t="shared" si="40"/>
        <v>#VALUE!</v>
      </c>
      <c r="I1077" t="e">
        <f t="shared" si="41"/>
        <v>#VALUE!</v>
      </c>
      <c r="J1077" t="e">
        <f t="shared" si="43"/>
        <v>#VALUE!</v>
      </c>
      <c r="K1077" t="e">
        <f t="shared" si="42"/>
        <v>#VALUE!</v>
      </c>
    </row>
    <row r="1078" spans="1:11" hidden="1" x14ac:dyDescent="0.25">
      <c r="A1078">
        <f t="shared" si="33"/>
        <v>0</v>
      </c>
      <c r="B1078" t="e">
        <f t="shared" si="34"/>
        <v>#VALUE!</v>
      </c>
      <c r="C1078" t="e">
        <f t="shared" si="35"/>
        <v>#VALUE!</v>
      </c>
      <c r="D1078" t="e">
        <f t="shared" si="36"/>
        <v>#VALUE!</v>
      </c>
      <c r="E1078" t="e">
        <f t="shared" si="37"/>
        <v>#VALUE!</v>
      </c>
      <c r="F1078" t="e">
        <f t="shared" si="38"/>
        <v>#VALUE!</v>
      </c>
      <c r="G1078" t="e">
        <f t="shared" si="39"/>
        <v>#VALUE!</v>
      </c>
      <c r="H1078" t="e">
        <f t="shared" si="40"/>
        <v>#VALUE!</v>
      </c>
      <c r="I1078" t="e">
        <f t="shared" si="41"/>
        <v>#VALUE!</v>
      </c>
      <c r="J1078" t="e">
        <f t="shared" si="43"/>
        <v>#VALUE!</v>
      </c>
      <c r="K1078" t="e">
        <f t="shared" si="42"/>
        <v>#VALUE!</v>
      </c>
    </row>
    <row r="1079" spans="1:11" hidden="1" x14ac:dyDescent="0.25">
      <c r="A1079">
        <f t="shared" si="33"/>
        <v>0</v>
      </c>
      <c r="B1079" t="e">
        <f t="shared" si="34"/>
        <v>#VALUE!</v>
      </c>
      <c r="C1079" t="e">
        <f t="shared" si="35"/>
        <v>#VALUE!</v>
      </c>
      <c r="D1079" t="e">
        <f t="shared" si="36"/>
        <v>#VALUE!</v>
      </c>
      <c r="E1079" t="e">
        <f t="shared" si="37"/>
        <v>#VALUE!</v>
      </c>
      <c r="F1079" t="e">
        <f t="shared" si="38"/>
        <v>#VALUE!</v>
      </c>
      <c r="G1079" t="e">
        <f t="shared" si="39"/>
        <v>#VALUE!</v>
      </c>
      <c r="H1079" t="e">
        <f t="shared" si="40"/>
        <v>#VALUE!</v>
      </c>
      <c r="I1079" t="e">
        <f t="shared" si="41"/>
        <v>#VALUE!</v>
      </c>
      <c r="J1079" t="e">
        <f t="shared" si="43"/>
        <v>#VALUE!</v>
      </c>
      <c r="K1079" t="e">
        <f t="shared" si="42"/>
        <v>#VALUE!</v>
      </c>
    </row>
    <row r="1080" spans="1:11" hidden="1" x14ac:dyDescent="0.25">
      <c r="A1080">
        <f t="shared" si="33"/>
        <v>0</v>
      </c>
      <c r="B1080" t="e">
        <f t="shared" si="34"/>
        <v>#VALUE!</v>
      </c>
      <c r="C1080" t="e">
        <f t="shared" si="35"/>
        <v>#VALUE!</v>
      </c>
      <c r="D1080" t="e">
        <f t="shared" si="36"/>
        <v>#VALUE!</v>
      </c>
      <c r="E1080" t="e">
        <f t="shared" si="37"/>
        <v>#VALUE!</v>
      </c>
      <c r="F1080" t="e">
        <f t="shared" si="38"/>
        <v>#VALUE!</v>
      </c>
      <c r="G1080" t="e">
        <f t="shared" si="39"/>
        <v>#VALUE!</v>
      </c>
      <c r="H1080" t="e">
        <f t="shared" si="40"/>
        <v>#VALUE!</v>
      </c>
      <c r="I1080" t="e">
        <f t="shared" si="41"/>
        <v>#VALUE!</v>
      </c>
      <c r="J1080" t="e">
        <f t="shared" si="43"/>
        <v>#VALUE!</v>
      </c>
      <c r="K1080" t="e">
        <f t="shared" si="42"/>
        <v>#VALUE!</v>
      </c>
    </row>
    <row r="1081" spans="1:11" hidden="1" x14ac:dyDescent="0.25">
      <c r="A1081">
        <f t="shared" si="33"/>
        <v>0</v>
      </c>
      <c r="B1081" t="e">
        <f t="shared" si="34"/>
        <v>#VALUE!</v>
      </c>
      <c r="C1081" t="e">
        <f t="shared" si="35"/>
        <v>#VALUE!</v>
      </c>
      <c r="D1081" t="e">
        <f t="shared" si="36"/>
        <v>#VALUE!</v>
      </c>
      <c r="E1081" t="e">
        <f t="shared" si="37"/>
        <v>#VALUE!</v>
      </c>
      <c r="F1081" t="e">
        <f t="shared" si="38"/>
        <v>#VALUE!</v>
      </c>
      <c r="G1081" t="e">
        <f t="shared" si="39"/>
        <v>#VALUE!</v>
      </c>
      <c r="H1081" t="e">
        <f t="shared" si="40"/>
        <v>#VALUE!</v>
      </c>
      <c r="I1081" t="e">
        <f t="shared" si="41"/>
        <v>#VALUE!</v>
      </c>
      <c r="J1081" t="e">
        <f t="shared" si="43"/>
        <v>#VALUE!</v>
      </c>
      <c r="K1081" t="e">
        <f t="shared" si="42"/>
        <v>#VALUE!</v>
      </c>
    </row>
    <row r="1082" spans="1:11" hidden="1" x14ac:dyDescent="0.25">
      <c r="A1082">
        <f t="shared" si="33"/>
        <v>0</v>
      </c>
      <c r="B1082" t="e">
        <f t="shared" si="34"/>
        <v>#VALUE!</v>
      </c>
      <c r="C1082" t="e">
        <f t="shared" si="35"/>
        <v>#VALUE!</v>
      </c>
      <c r="D1082" t="e">
        <f t="shared" si="36"/>
        <v>#VALUE!</v>
      </c>
      <c r="E1082" t="e">
        <f t="shared" si="37"/>
        <v>#VALUE!</v>
      </c>
      <c r="F1082" t="e">
        <f t="shared" si="38"/>
        <v>#VALUE!</v>
      </c>
      <c r="G1082" t="e">
        <f t="shared" si="39"/>
        <v>#VALUE!</v>
      </c>
      <c r="H1082" t="e">
        <f t="shared" si="40"/>
        <v>#VALUE!</v>
      </c>
      <c r="I1082" t="e">
        <f t="shared" si="41"/>
        <v>#VALUE!</v>
      </c>
      <c r="J1082" t="e">
        <f t="shared" si="43"/>
        <v>#VALUE!</v>
      </c>
      <c r="K1082" t="e">
        <f t="shared" si="42"/>
        <v>#VALUE!</v>
      </c>
    </row>
    <row r="1083" spans="1:11" hidden="1" x14ac:dyDescent="0.25">
      <c r="A1083">
        <f t="shared" si="33"/>
        <v>0</v>
      </c>
      <c r="B1083" t="e">
        <f t="shared" si="34"/>
        <v>#VALUE!</v>
      </c>
      <c r="C1083" t="e">
        <f t="shared" si="35"/>
        <v>#VALUE!</v>
      </c>
      <c r="D1083" t="e">
        <f t="shared" si="36"/>
        <v>#VALUE!</v>
      </c>
      <c r="E1083" t="e">
        <f t="shared" si="37"/>
        <v>#VALUE!</v>
      </c>
      <c r="F1083" t="e">
        <f t="shared" si="38"/>
        <v>#VALUE!</v>
      </c>
      <c r="G1083" t="e">
        <f t="shared" si="39"/>
        <v>#VALUE!</v>
      </c>
      <c r="H1083" t="e">
        <f t="shared" si="40"/>
        <v>#VALUE!</v>
      </c>
      <c r="I1083" t="e">
        <f t="shared" si="41"/>
        <v>#VALUE!</v>
      </c>
      <c r="J1083" t="e">
        <f t="shared" si="43"/>
        <v>#VALUE!</v>
      </c>
      <c r="K1083" t="e">
        <f t="shared" si="42"/>
        <v>#VALUE!</v>
      </c>
    </row>
    <row r="1084" spans="1:11" hidden="1" x14ac:dyDescent="0.25">
      <c r="A1084">
        <f t="shared" si="33"/>
        <v>0</v>
      </c>
      <c r="B1084" t="e">
        <f t="shared" si="34"/>
        <v>#VALUE!</v>
      </c>
      <c r="C1084" t="e">
        <f t="shared" si="35"/>
        <v>#VALUE!</v>
      </c>
      <c r="D1084" t="e">
        <f t="shared" si="36"/>
        <v>#VALUE!</v>
      </c>
      <c r="E1084" t="e">
        <f t="shared" si="37"/>
        <v>#VALUE!</v>
      </c>
      <c r="F1084" t="e">
        <f t="shared" si="38"/>
        <v>#VALUE!</v>
      </c>
      <c r="G1084" t="e">
        <f t="shared" si="39"/>
        <v>#VALUE!</v>
      </c>
      <c r="H1084" t="e">
        <f t="shared" si="40"/>
        <v>#VALUE!</v>
      </c>
      <c r="I1084" t="e">
        <f t="shared" si="41"/>
        <v>#VALUE!</v>
      </c>
      <c r="J1084" t="e">
        <f t="shared" si="43"/>
        <v>#VALUE!</v>
      </c>
      <c r="K1084" t="e">
        <f t="shared" si="42"/>
        <v>#VALUE!</v>
      </c>
    </row>
    <row r="1085" spans="1:11" hidden="1" x14ac:dyDescent="0.25">
      <c r="A1085">
        <f t="shared" si="33"/>
        <v>0</v>
      </c>
      <c r="B1085" t="e">
        <f t="shared" si="34"/>
        <v>#VALUE!</v>
      </c>
      <c r="C1085" t="e">
        <f t="shared" si="35"/>
        <v>#VALUE!</v>
      </c>
      <c r="D1085" t="e">
        <f t="shared" si="36"/>
        <v>#VALUE!</v>
      </c>
      <c r="E1085" t="e">
        <f t="shared" si="37"/>
        <v>#VALUE!</v>
      </c>
      <c r="F1085" t="e">
        <f t="shared" si="38"/>
        <v>#VALUE!</v>
      </c>
      <c r="G1085" t="e">
        <f t="shared" si="39"/>
        <v>#VALUE!</v>
      </c>
      <c r="H1085" t="e">
        <f t="shared" si="40"/>
        <v>#VALUE!</v>
      </c>
      <c r="I1085" t="e">
        <f t="shared" si="41"/>
        <v>#VALUE!</v>
      </c>
      <c r="J1085" t="e">
        <f t="shared" si="43"/>
        <v>#VALUE!</v>
      </c>
      <c r="K1085" t="e">
        <f t="shared" si="42"/>
        <v>#VALUE!</v>
      </c>
    </row>
    <row r="1086" spans="1:11" hidden="1" x14ac:dyDescent="0.25">
      <c r="A1086">
        <f t="shared" si="33"/>
        <v>0</v>
      </c>
      <c r="B1086" t="e">
        <f t="shared" si="34"/>
        <v>#VALUE!</v>
      </c>
      <c r="C1086" t="e">
        <f t="shared" si="35"/>
        <v>#VALUE!</v>
      </c>
      <c r="D1086" t="e">
        <f t="shared" si="36"/>
        <v>#VALUE!</v>
      </c>
      <c r="E1086" t="e">
        <f t="shared" si="37"/>
        <v>#VALUE!</v>
      </c>
      <c r="F1086" t="e">
        <f t="shared" si="38"/>
        <v>#VALUE!</v>
      </c>
      <c r="G1086" t="e">
        <f t="shared" si="39"/>
        <v>#VALUE!</v>
      </c>
      <c r="H1086" t="e">
        <f t="shared" si="40"/>
        <v>#VALUE!</v>
      </c>
      <c r="I1086" t="e">
        <f t="shared" si="41"/>
        <v>#VALUE!</v>
      </c>
      <c r="J1086" t="e">
        <f t="shared" si="43"/>
        <v>#VALUE!</v>
      </c>
      <c r="K1086" t="e">
        <f t="shared" si="42"/>
        <v>#VALUE!</v>
      </c>
    </row>
    <row r="1087" spans="1:11" hidden="1" x14ac:dyDescent="0.25">
      <c r="A1087">
        <f t="shared" si="33"/>
        <v>0</v>
      </c>
      <c r="B1087" t="e">
        <f t="shared" si="34"/>
        <v>#VALUE!</v>
      </c>
      <c r="C1087" t="e">
        <f t="shared" si="35"/>
        <v>#VALUE!</v>
      </c>
      <c r="D1087" t="e">
        <f t="shared" si="36"/>
        <v>#VALUE!</v>
      </c>
      <c r="E1087" t="e">
        <f t="shared" si="37"/>
        <v>#VALUE!</v>
      </c>
      <c r="F1087" t="e">
        <f t="shared" si="38"/>
        <v>#VALUE!</v>
      </c>
      <c r="G1087" t="e">
        <f t="shared" si="39"/>
        <v>#VALUE!</v>
      </c>
      <c r="H1087" t="e">
        <f t="shared" si="40"/>
        <v>#VALUE!</v>
      </c>
      <c r="I1087" t="e">
        <f t="shared" si="41"/>
        <v>#VALUE!</v>
      </c>
      <c r="J1087" t="e">
        <f t="shared" si="43"/>
        <v>#VALUE!</v>
      </c>
      <c r="K1087" t="e">
        <f t="shared" si="42"/>
        <v>#VALUE!</v>
      </c>
    </row>
    <row r="1088" spans="1:11" hidden="1" x14ac:dyDescent="0.25">
      <c r="A1088">
        <f t="shared" si="33"/>
        <v>0</v>
      </c>
      <c r="B1088" t="e">
        <f t="shared" si="34"/>
        <v>#VALUE!</v>
      </c>
      <c r="C1088" t="e">
        <f t="shared" si="35"/>
        <v>#VALUE!</v>
      </c>
      <c r="D1088" t="e">
        <f t="shared" si="36"/>
        <v>#VALUE!</v>
      </c>
      <c r="E1088" t="e">
        <f t="shared" si="37"/>
        <v>#VALUE!</v>
      </c>
      <c r="F1088" t="e">
        <f t="shared" si="38"/>
        <v>#VALUE!</v>
      </c>
      <c r="G1088" t="e">
        <f t="shared" si="39"/>
        <v>#VALUE!</v>
      </c>
      <c r="H1088" t="e">
        <f t="shared" si="40"/>
        <v>#VALUE!</v>
      </c>
      <c r="I1088" t="e">
        <f t="shared" si="41"/>
        <v>#VALUE!</v>
      </c>
      <c r="J1088" t="e">
        <f t="shared" si="43"/>
        <v>#VALUE!</v>
      </c>
      <c r="K1088" t="e">
        <f t="shared" si="42"/>
        <v>#VALUE!</v>
      </c>
    </row>
    <row r="1089" spans="1:11" hidden="1" x14ac:dyDescent="0.25">
      <c r="A1089">
        <f t="shared" si="33"/>
        <v>0</v>
      </c>
      <c r="B1089" t="e">
        <f t="shared" si="34"/>
        <v>#VALUE!</v>
      </c>
      <c r="C1089" t="e">
        <f t="shared" si="35"/>
        <v>#VALUE!</v>
      </c>
      <c r="D1089" t="e">
        <f t="shared" si="36"/>
        <v>#VALUE!</v>
      </c>
      <c r="E1089" t="e">
        <f t="shared" si="37"/>
        <v>#VALUE!</v>
      </c>
      <c r="F1089" t="e">
        <f t="shared" si="38"/>
        <v>#VALUE!</v>
      </c>
      <c r="G1089" t="e">
        <f t="shared" si="39"/>
        <v>#VALUE!</v>
      </c>
      <c r="H1089" t="e">
        <f t="shared" si="40"/>
        <v>#VALUE!</v>
      </c>
      <c r="I1089" t="e">
        <f t="shared" si="41"/>
        <v>#VALUE!</v>
      </c>
      <c r="J1089" t="e">
        <f t="shared" si="43"/>
        <v>#VALUE!</v>
      </c>
      <c r="K1089" t="e">
        <f t="shared" si="42"/>
        <v>#VALUE!</v>
      </c>
    </row>
    <row r="1090" spans="1:11" hidden="1" x14ac:dyDescent="0.25">
      <c r="A1090">
        <f t="shared" si="33"/>
        <v>0</v>
      </c>
      <c r="B1090" t="e">
        <f t="shared" si="34"/>
        <v>#VALUE!</v>
      </c>
      <c r="C1090" t="e">
        <f t="shared" si="35"/>
        <v>#VALUE!</v>
      </c>
      <c r="D1090" t="e">
        <f t="shared" si="36"/>
        <v>#VALUE!</v>
      </c>
      <c r="E1090" t="e">
        <f t="shared" si="37"/>
        <v>#VALUE!</v>
      </c>
      <c r="F1090" t="e">
        <f t="shared" si="38"/>
        <v>#VALUE!</v>
      </c>
      <c r="G1090" t="e">
        <f t="shared" si="39"/>
        <v>#VALUE!</v>
      </c>
      <c r="H1090" t="e">
        <f t="shared" si="40"/>
        <v>#VALUE!</v>
      </c>
      <c r="I1090" t="e">
        <f t="shared" si="41"/>
        <v>#VALUE!</v>
      </c>
      <c r="J1090" t="e">
        <f t="shared" si="43"/>
        <v>#VALUE!</v>
      </c>
      <c r="K1090" t="e">
        <f t="shared" si="42"/>
        <v>#VALUE!</v>
      </c>
    </row>
    <row r="1091" spans="1:11" hidden="1" x14ac:dyDescent="0.25">
      <c r="A1091">
        <f t="shared" si="33"/>
        <v>0</v>
      </c>
      <c r="B1091" t="e">
        <f t="shared" si="34"/>
        <v>#VALUE!</v>
      </c>
      <c r="C1091" t="e">
        <f t="shared" si="35"/>
        <v>#VALUE!</v>
      </c>
      <c r="D1091" t="e">
        <f t="shared" si="36"/>
        <v>#VALUE!</v>
      </c>
      <c r="E1091" t="e">
        <f t="shared" si="37"/>
        <v>#VALUE!</v>
      </c>
      <c r="F1091" t="e">
        <f t="shared" si="38"/>
        <v>#VALUE!</v>
      </c>
      <c r="G1091" t="e">
        <f t="shared" si="39"/>
        <v>#VALUE!</v>
      </c>
      <c r="H1091" t="e">
        <f t="shared" si="40"/>
        <v>#VALUE!</v>
      </c>
      <c r="I1091" t="e">
        <f t="shared" si="41"/>
        <v>#VALUE!</v>
      </c>
      <c r="J1091" t="e">
        <f t="shared" si="43"/>
        <v>#VALUE!</v>
      </c>
      <c r="K1091" t="e">
        <f t="shared" si="42"/>
        <v>#VALUE!</v>
      </c>
    </row>
    <row r="1092" spans="1:11" hidden="1" x14ac:dyDescent="0.25">
      <c r="A1092">
        <f t="shared" si="33"/>
        <v>0</v>
      </c>
      <c r="B1092" t="e">
        <f t="shared" si="34"/>
        <v>#VALUE!</v>
      </c>
      <c r="C1092" t="e">
        <f t="shared" si="35"/>
        <v>#VALUE!</v>
      </c>
      <c r="D1092" t="e">
        <f t="shared" si="36"/>
        <v>#VALUE!</v>
      </c>
      <c r="E1092" t="e">
        <f t="shared" si="37"/>
        <v>#VALUE!</v>
      </c>
      <c r="F1092" t="e">
        <f t="shared" si="38"/>
        <v>#VALUE!</v>
      </c>
      <c r="G1092" t="e">
        <f t="shared" si="39"/>
        <v>#VALUE!</v>
      </c>
      <c r="H1092" t="e">
        <f t="shared" si="40"/>
        <v>#VALUE!</v>
      </c>
      <c r="I1092" t="e">
        <f t="shared" si="41"/>
        <v>#VALUE!</v>
      </c>
      <c r="J1092" t="e">
        <f t="shared" si="43"/>
        <v>#VALUE!</v>
      </c>
      <c r="K1092" t="e">
        <f t="shared" si="42"/>
        <v>#VALUE!</v>
      </c>
    </row>
    <row r="1093" spans="1:11" hidden="1" x14ac:dyDescent="0.25">
      <c r="A1093">
        <f t="shared" si="33"/>
        <v>0</v>
      </c>
      <c r="B1093" t="e">
        <f t="shared" si="34"/>
        <v>#VALUE!</v>
      </c>
      <c r="C1093" t="e">
        <f t="shared" si="35"/>
        <v>#VALUE!</v>
      </c>
      <c r="D1093" t="e">
        <f t="shared" si="36"/>
        <v>#VALUE!</v>
      </c>
      <c r="E1093" t="e">
        <f t="shared" si="37"/>
        <v>#VALUE!</v>
      </c>
      <c r="F1093" t="e">
        <f t="shared" si="38"/>
        <v>#VALUE!</v>
      </c>
      <c r="G1093" t="e">
        <f t="shared" si="39"/>
        <v>#VALUE!</v>
      </c>
      <c r="H1093" t="e">
        <f t="shared" si="40"/>
        <v>#VALUE!</v>
      </c>
      <c r="I1093" t="e">
        <f t="shared" si="41"/>
        <v>#VALUE!</v>
      </c>
      <c r="J1093" t="e">
        <f t="shared" si="43"/>
        <v>#VALUE!</v>
      </c>
      <c r="K1093" t="e">
        <f t="shared" si="42"/>
        <v>#VALUE!</v>
      </c>
    </row>
    <row r="1094" spans="1:11" hidden="1" x14ac:dyDescent="0.25">
      <c r="A1094">
        <f t="shared" si="33"/>
        <v>0</v>
      </c>
      <c r="B1094" t="e">
        <f t="shared" si="34"/>
        <v>#VALUE!</v>
      </c>
      <c r="C1094" t="e">
        <f t="shared" si="35"/>
        <v>#VALUE!</v>
      </c>
      <c r="D1094" t="e">
        <f t="shared" si="36"/>
        <v>#VALUE!</v>
      </c>
      <c r="E1094" t="e">
        <f t="shared" si="37"/>
        <v>#VALUE!</v>
      </c>
      <c r="F1094" t="e">
        <f t="shared" si="38"/>
        <v>#VALUE!</v>
      </c>
      <c r="G1094" t="e">
        <f t="shared" si="39"/>
        <v>#VALUE!</v>
      </c>
      <c r="H1094" t="e">
        <f t="shared" si="40"/>
        <v>#VALUE!</v>
      </c>
      <c r="I1094" t="e">
        <f t="shared" si="41"/>
        <v>#VALUE!</v>
      </c>
      <c r="J1094" t="e">
        <f t="shared" si="43"/>
        <v>#VALUE!</v>
      </c>
      <c r="K1094" t="e">
        <f t="shared" si="42"/>
        <v>#VALUE!</v>
      </c>
    </row>
    <row r="1095" spans="1:11" hidden="1" x14ac:dyDescent="0.25">
      <c r="A1095">
        <f t="shared" si="33"/>
        <v>0</v>
      </c>
      <c r="B1095" t="e">
        <f t="shared" si="34"/>
        <v>#VALUE!</v>
      </c>
      <c r="C1095" t="e">
        <f t="shared" si="35"/>
        <v>#VALUE!</v>
      </c>
      <c r="D1095" t="e">
        <f t="shared" si="36"/>
        <v>#VALUE!</v>
      </c>
      <c r="E1095" t="e">
        <f t="shared" si="37"/>
        <v>#VALUE!</v>
      </c>
      <c r="F1095" t="e">
        <f t="shared" si="38"/>
        <v>#VALUE!</v>
      </c>
      <c r="G1095" t="e">
        <f t="shared" si="39"/>
        <v>#VALUE!</v>
      </c>
      <c r="H1095" t="e">
        <f t="shared" si="40"/>
        <v>#VALUE!</v>
      </c>
      <c r="I1095" t="e">
        <f t="shared" si="41"/>
        <v>#VALUE!</v>
      </c>
      <c r="J1095" t="e">
        <f t="shared" si="43"/>
        <v>#VALUE!</v>
      </c>
      <c r="K1095" t="e">
        <f t="shared" si="42"/>
        <v>#VALUE!</v>
      </c>
    </row>
    <row r="1096" spans="1:11" hidden="1" x14ac:dyDescent="0.25">
      <c r="A1096">
        <f t="shared" si="33"/>
        <v>0</v>
      </c>
      <c r="B1096" t="e">
        <f t="shared" si="34"/>
        <v>#VALUE!</v>
      </c>
      <c r="C1096" t="e">
        <f t="shared" si="35"/>
        <v>#VALUE!</v>
      </c>
      <c r="D1096" t="e">
        <f t="shared" si="36"/>
        <v>#VALUE!</v>
      </c>
      <c r="E1096" t="e">
        <f t="shared" si="37"/>
        <v>#VALUE!</v>
      </c>
      <c r="F1096" t="e">
        <f t="shared" si="38"/>
        <v>#VALUE!</v>
      </c>
      <c r="G1096" t="e">
        <f t="shared" si="39"/>
        <v>#VALUE!</v>
      </c>
      <c r="H1096" t="e">
        <f t="shared" si="40"/>
        <v>#VALUE!</v>
      </c>
      <c r="I1096" t="e">
        <f t="shared" si="41"/>
        <v>#VALUE!</v>
      </c>
      <c r="J1096" t="e">
        <f t="shared" si="43"/>
        <v>#VALUE!</v>
      </c>
      <c r="K1096" t="e">
        <f t="shared" si="42"/>
        <v>#VALUE!</v>
      </c>
    </row>
    <row r="1097" spans="1:11" hidden="1" x14ac:dyDescent="0.25">
      <c r="A1097">
        <f t="shared" si="33"/>
        <v>0</v>
      </c>
      <c r="B1097" t="e">
        <f t="shared" si="34"/>
        <v>#VALUE!</v>
      </c>
      <c r="C1097" t="e">
        <f t="shared" si="35"/>
        <v>#VALUE!</v>
      </c>
      <c r="D1097" t="e">
        <f t="shared" si="36"/>
        <v>#VALUE!</v>
      </c>
      <c r="E1097" t="e">
        <f t="shared" si="37"/>
        <v>#VALUE!</v>
      </c>
      <c r="F1097" t="e">
        <f t="shared" si="38"/>
        <v>#VALUE!</v>
      </c>
      <c r="G1097" t="e">
        <f t="shared" si="39"/>
        <v>#VALUE!</v>
      </c>
      <c r="H1097" t="e">
        <f t="shared" si="40"/>
        <v>#VALUE!</v>
      </c>
      <c r="I1097" t="e">
        <f t="shared" si="41"/>
        <v>#VALUE!</v>
      </c>
      <c r="J1097" t="e">
        <f t="shared" si="43"/>
        <v>#VALUE!</v>
      </c>
      <c r="K1097" t="e">
        <f t="shared" si="42"/>
        <v>#VALUE!</v>
      </c>
    </row>
    <row r="1098" spans="1:11" hidden="1" x14ac:dyDescent="0.25">
      <c r="A1098">
        <f t="shared" si="33"/>
        <v>0</v>
      </c>
      <c r="B1098" t="e">
        <f t="shared" si="34"/>
        <v>#VALUE!</v>
      </c>
      <c r="C1098" t="e">
        <f t="shared" si="35"/>
        <v>#VALUE!</v>
      </c>
      <c r="D1098" t="e">
        <f t="shared" si="36"/>
        <v>#VALUE!</v>
      </c>
      <c r="E1098" t="e">
        <f t="shared" si="37"/>
        <v>#VALUE!</v>
      </c>
      <c r="F1098" t="e">
        <f t="shared" si="38"/>
        <v>#VALUE!</v>
      </c>
      <c r="G1098" t="e">
        <f t="shared" si="39"/>
        <v>#VALUE!</v>
      </c>
      <c r="H1098" t="e">
        <f t="shared" si="40"/>
        <v>#VALUE!</v>
      </c>
      <c r="I1098" t="e">
        <f t="shared" si="41"/>
        <v>#VALUE!</v>
      </c>
      <c r="J1098" t="e">
        <f t="shared" si="43"/>
        <v>#VALUE!</v>
      </c>
      <c r="K1098" t="e">
        <f t="shared" si="42"/>
        <v>#VALUE!</v>
      </c>
    </row>
    <row r="1099" spans="1:11" hidden="1" x14ac:dyDescent="0.25">
      <c r="A1099">
        <f t="shared" si="33"/>
        <v>0</v>
      </c>
      <c r="B1099" t="e">
        <f t="shared" si="34"/>
        <v>#VALUE!</v>
      </c>
      <c r="C1099" t="e">
        <f t="shared" si="35"/>
        <v>#VALUE!</v>
      </c>
      <c r="D1099" t="e">
        <f t="shared" si="36"/>
        <v>#VALUE!</v>
      </c>
      <c r="E1099" t="e">
        <f t="shared" si="37"/>
        <v>#VALUE!</v>
      </c>
      <c r="F1099" t="e">
        <f t="shared" si="38"/>
        <v>#VALUE!</v>
      </c>
      <c r="G1099" t="e">
        <f t="shared" si="39"/>
        <v>#VALUE!</v>
      </c>
      <c r="H1099" t="e">
        <f t="shared" si="40"/>
        <v>#VALUE!</v>
      </c>
      <c r="I1099" t="e">
        <f t="shared" si="41"/>
        <v>#VALUE!</v>
      </c>
      <c r="J1099" t="e">
        <f t="shared" si="43"/>
        <v>#VALUE!</v>
      </c>
      <c r="K1099" t="e">
        <f t="shared" si="42"/>
        <v>#VALUE!</v>
      </c>
    </row>
    <row r="1100" spans="1:11" hidden="1" x14ac:dyDescent="0.25">
      <c r="A1100">
        <f t="shared" si="33"/>
        <v>0</v>
      </c>
      <c r="B1100" t="e">
        <f t="shared" si="34"/>
        <v>#VALUE!</v>
      </c>
      <c r="C1100" t="e">
        <f t="shared" si="35"/>
        <v>#VALUE!</v>
      </c>
      <c r="D1100" t="e">
        <f t="shared" si="36"/>
        <v>#VALUE!</v>
      </c>
      <c r="E1100" t="e">
        <f t="shared" si="37"/>
        <v>#VALUE!</v>
      </c>
      <c r="F1100" t="e">
        <f t="shared" si="38"/>
        <v>#VALUE!</v>
      </c>
      <c r="G1100" t="e">
        <f t="shared" si="39"/>
        <v>#VALUE!</v>
      </c>
      <c r="H1100" t="e">
        <f t="shared" si="40"/>
        <v>#VALUE!</v>
      </c>
      <c r="I1100" t="e">
        <f t="shared" si="41"/>
        <v>#VALUE!</v>
      </c>
      <c r="J1100" t="e">
        <f t="shared" si="43"/>
        <v>#VALUE!</v>
      </c>
      <c r="K1100" t="e">
        <f t="shared" si="42"/>
        <v>#VALUE!</v>
      </c>
    </row>
    <row r="1101" spans="1:11" hidden="1" x14ac:dyDescent="0.25">
      <c r="A1101">
        <f t="shared" si="33"/>
        <v>0</v>
      </c>
      <c r="B1101" t="e">
        <f t="shared" si="34"/>
        <v>#VALUE!</v>
      </c>
      <c r="C1101" t="e">
        <f t="shared" si="35"/>
        <v>#VALUE!</v>
      </c>
      <c r="D1101" t="e">
        <f t="shared" si="36"/>
        <v>#VALUE!</v>
      </c>
      <c r="E1101" t="e">
        <f t="shared" si="37"/>
        <v>#VALUE!</v>
      </c>
      <c r="F1101" t="e">
        <f t="shared" si="38"/>
        <v>#VALUE!</v>
      </c>
      <c r="G1101" t="e">
        <f t="shared" si="39"/>
        <v>#VALUE!</v>
      </c>
      <c r="H1101" t="e">
        <f t="shared" si="40"/>
        <v>#VALUE!</v>
      </c>
      <c r="I1101" t="e">
        <f t="shared" si="41"/>
        <v>#VALUE!</v>
      </c>
      <c r="J1101" t="e">
        <f t="shared" si="43"/>
        <v>#VALUE!</v>
      </c>
      <c r="K1101" t="e">
        <f t="shared" si="42"/>
        <v>#VALUE!</v>
      </c>
    </row>
    <row r="1102" spans="1:11" hidden="1" x14ac:dyDescent="0.25">
      <c r="A1102">
        <f t="shared" si="33"/>
        <v>0</v>
      </c>
      <c r="B1102" t="e">
        <f t="shared" si="34"/>
        <v>#VALUE!</v>
      </c>
      <c r="C1102" t="e">
        <f t="shared" si="35"/>
        <v>#VALUE!</v>
      </c>
      <c r="D1102" t="e">
        <f t="shared" si="36"/>
        <v>#VALUE!</v>
      </c>
      <c r="E1102" t="e">
        <f t="shared" si="37"/>
        <v>#VALUE!</v>
      </c>
      <c r="F1102" t="e">
        <f t="shared" si="38"/>
        <v>#VALUE!</v>
      </c>
      <c r="G1102" t="e">
        <f t="shared" si="39"/>
        <v>#VALUE!</v>
      </c>
      <c r="H1102" t="e">
        <f t="shared" si="40"/>
        <v>#VALUE!</v>
      </c>
      <c r="I1102" t="e">
        <f t="shared" si="41"/>
        <v>#VALUE!</v>
      </c>
      <c r="J1102" t="e">
        <f t="shared" si="43"/>
        <v>#VALUE!</v>
      </c>
      <c r="K1102" t="e">
        <f t="shared" si="42"/>
        <v>#VALUE!</v>
      </c>
    </row>
    <row r="1103" spans="1:11" hidden="1" x14ac:dyDescent="0.25">
      <c r="A1103">
        <f t="shared" si="33"/>
        <v>0</v>
      </c>
      <c r="B1103" t="e">
        <f t="shared" si="34"/>
        <v>#VALUE!</v>
      </c>
      <c r="C1103" t="e">
        <f t="shared" si="35"/>
        <v>#VALUE!</v>
      </c>
      <c r="D1103" t="e">
        <f t="shared" si="36"/>
        <v>#VALUE!</v>
      </c>
      <c r="E1103" t="e">
        <f t="shared" si="37"/>
        <v>#VALUE!</v>
      </c>
      <c r="F1103" t="e">
        <f t="shared" si="38"/>
        <v>#VALUE!</v>
      </c>
      <c r="G1103" t="e">
        <f t="shared" si="39"/>
        <v>#VALUE!</v>
      </c>
      <c r="H1103" t="e">
        <f t="shared" si="40"/>
        <v>#VALUE!</v>
      </c>
      <c r="I1103" t="e">
        <f t="shared" si="41"/>
        <v>#VALUE!</v>
      </c>
      <c r="J1103" t="e">
        <f t="shared" si="43"/>
        <v>#VALUE!</v>
      </c>
      <c r="K1103" t="e">
        <f t="shared" si="42"/>
        <v>#VALUE!</v>
      </c>
    </row>
    <row r="1104" spans="1:11" hidden="1" x14ac:dyDescent="0.25">
      <c r="A1104">
        <f t="shared" si="33"/>
        <v>0</v>
      </c>
      <c r="B1104" t="e">
        <f t="shared" si="34"/>
        <v>#VALUE!</v>
      </c>
      <c r="C1104" t="e">
        <f t="shared" si="35"/>
        <v>#VALUE!</v>
      </c>
      <c r="D1104" t="e">
        <f t="shared" si="36"/>
        <v>#VALUE!</v>
      </c>
      <c r="E1104" t="e">
        <f t="shared" si="37"/>
        <v>#VALUE!</v>
      </c>
      <c r="F1104" t="e">
        <f t="shared" si="38"/>
        <v>#VALUE!</v>
      </c>
      <c r="G1104" t="e">
        <f t="shared" si="39"/>
        <v>#VALUE!</v>
      </c>
      <c r="H1104" t="e">
        <f t="shared" si="40"/>
        <v>#VALUE!</v>
      </c>
      <c r="I1104" t="e">
        <f t="shared" si="41"/>
        <v>#VALUE!</v>
      </c>
      <c r="J1104" t="e">
        <f t="shared" si="43"/>
        <v>#VALUE!</v>
      </c>
      <c r="K1104" t="e">
        <f t="shared" si="42"/>
        <v>#VALUE!</v>
      </c>
    </row>
    <row r="1105" spans="1:11" hidden="1" x14ac:dyDescent="0.25">
      <c r="A1105">
        <f t="shared" si="33"/>
        <v>0</v>
      </c>
      <c r="B1105" t="e">
        <f t="shared" si="34"/>
        <v>#VALUE!</v>
      </c>
      <c r="C1105" t="e">
        <f t="shared" si="35"/>
        <v>#VALUE!</v>
      </c>
      <c r="D1105" t="e">
        <f t="shared" si="36"/>
        <v>#VALUE!</v>
      </c>
      <c r="E1105" t="e">
        <f t="shared" si="37"/>
        <v>#VALUE!</v>
      </c>
      <c r="F1105" t="e">
        <f t="shared" si="38"/>
        <v>#VALUE!</v>
      </c>
      <c r="G1105" t="e">
        <f t="shared" si="39"/>
        <v>#VALUE!</v>
      </c>
      <c r="H1105" t="e">
        <f t="shared" si="40"/>
        <v>#VALUE!</v>
      </c>
      <c r="I1105" t="e">
        <f t="shared" si="41"/>
        <v>#VALUE!</v>
      </c>
      <c r="J1105" t="e">
        <f t="shared" si="43"/>
        <v>#VALUE!</v>
      </c>
      <c r="K1105" t="e">
        <f t="shared" si="42"/>
        <v>#VALUE!</v>
      </c>
    </row>
    <row r="1106" spans="1:11" hidden="1" x14ac:dyDescent="0.25">
      <c r="A1106">
        <f t="shared" si="33"/>
        <v>0</v>
      </c>
      <c r="B1106" t="e">
        <f t="shared" si="34"/>
        <v>#VALUE!</v>
      </c>
      <c r="C1106" t="e">
        <f t="shared" si="35"/>
        <v>#VALUE!</v>
      </c>
      <c r="D1106" t="e">
        <f t="shared" si="36"/>
        <v>#VALUE!</v>
      </c>
      <c r="E1106" t="e">
        <f t="shared" si="37"/>
        <v>#VALUE!</v>
      </c>
      <c r="F1106" t="e">
        <f t="shared" si="38"/>
        <v>#VALUE!</v>
      </c>
      <c r="G1106" t="e">
        <f t="shared" si="39"/>
        <v>#VALUE!</v>
      </c>
      <c r="H1106" t="e">
        <f t="shared" si="40"/>
        <v>#VALUE!</v>
      </c>
      <c r="I1106" t="e">
        <f t="shared" si="41"/>
        <v>#VALUE!</v>
      </c>
      <c r="J1106" t="e">
        <f t="shared" si="43"/>
        <v>#VALUE!</v>
      </c>
      <c r="K1106" t="e">
        <f t="shared" si="42"/>
        <v>#VALUE!</v>
      </c>
    </row>
    <row r="1107" spans="1:11" hidden="1" x14ac:dyDescent="0.25">
      <c r="A1107">
        <f t="shared" si="33"/>
        <v>0</v>
      </c>
      <c r="B1107" t="e">
        <f t="shared" si="34"/>
        <v>#VALUE!</v>
      </c>
      <c r="C1107" t="e">
        <f t="shared" si="35"/>
        <v>#VALUE!</v>
      </c>
      <c r="D1107" t="e">
        <f t="shared" si="36"/>
        <v>#VALUE!</v>
      </c>
      <c r="E1107" t="e">
        <f t="shared" si="37"/>
        <v>#VALUE!</v>
      </c>
      <c r="F1107" t="e">
        <f t="shared" si="38"/>
        <v>#VALUE!</v>
      </c>
      <c r="G1107" t="e">
        <f t="shared" si="39"/>
        <v>#VALUE!</v>
      </c>
      <c r="H1107" t="e">
        <f t="shared" si="40"/>
        <v>#VALUE!</v>
      </c>
      <c r="I1107" t="e">
        <f t="shared" si="41"/>
        <v>#VALUE!</v>
      </c>
      <c r="J1107" t="e">
        <f t="shared" si="43"/>
        <v>#VALUE!</v>
      </c>
      <c r="K1107" t="e">
        <f t="shared" si="42"/>
        <v>#VALUE!</v>
      </c>
    </row>
    <row r="1108" spans="1:11" hidden="1" x14ac:dyDescent="0.25">
      <c r="A1108">
        <f t="shared" ref="A1108:A1151" si="44" xml:space="preserve"> IF(OR(LEFT(B268,1)= "T",LEFT(B268,1)= "G"),4,0)</f>
        <v>0</v>
      </c>
      <c r="B1108" t="e">
        <f t="shared" ref="B1108:B1151" si="45">MID(B268,2,1)*2</f>
        <v>#VALUE!</v>
      </c>
      <c r="C1108" t="e">
        <f t="shared" ref="C1108:C1151" si="46">MID(B268,3,1)*7</f>
        <v>#VALUE!</v>
      </c>
      <c r="D1108" t="e">
        <f t="shared" ref="D1108:D1151" si="47">MID(B268,4,1)*6</f>
        <v>#VALUE!</v>
      </c>
      <c r="E1108" t="e">
        <f t="shared" ref="E1108:E1151" si="48">MID(B268,5,1)*5</f>
        <v>#VALUE!</v>
      </c>
      <c r="F1108" t="e">
        <f t="shared" ref="F1108:F1151" si="49">MID(B268,6,1)*4</f>
        <v>#VALUE!</v>
      </c>
      <c r="G1108" t="e">
        <f t="shared" ref="G1108:G1151" si="50">MID(B268,7,1)*3</f>
        <v>#VALUE!</v>
      </c>
      <c r="H1108" t="e">
        <f t="shared" ref="H1108:H1151" si="51">MID(B268,8,1)*2</f>
        <v>#VALUE!</v>
      </c>
      <c r="I1108" t="e">
        <f t="shared" ref="I1108:I1151" si="52">IF(OR(LEFT(B268,1)="T",LEFT(B268,1)="G"),(SUM(B1108:H1108))+4,SUM(B1108:H1108))</f>
        <v>#VALUE!</v>
      </c>
      <c r="J1108" t="e">
        <f t="shared" si="43"/>
        <v>#VALUE!</v>
      </c>
      <c r="K1108" t="e">
        <f t="shared" ref="K1108:K1151" si="53" xml:space="preserve"> IF(OR(LEFT(B268,1)= "S",LEFT(B268,1)= "T"),VLOOKUP(J1108,$A$826:$B$836,2,FALSE), VLOOKUP(J1108,$A$840:$B$850,2,FALSE))</f>
        <v>#VALUE!</v>
      </c>
    </row>
    <row r="1109" spans="1:11" hidden="1" x14ac:dyDescent="0.25">
      <c r="A1109">
        <f t="shared" si="44"/>
        <v>0</v>
      </c>
      <c r="B1109" t="e">
        <f t="shared" si="45"/>
        <v>#VALUE!</v>
      </c>
      <c r="C1109" t="e">
        <f t="shared" si="46"/>
        <v>#VALUE!</v>
      </c>
      <c r="D1109" t="e">
        <f t="shared" si="47"/>
        <v>#VALUE!</v>
      </c>
      <c r="E1109" t="e">
        <f t="shared" si="48"/>
        <v>#VALUE!</v>
      </c>
      <c r="F1109" t="e">
        <f t="shared" si="49"/>
        <v>#VALUE!</v>
      </c>
      <c r="G1109" t="e">
        <f t="shared" si="50"/>
        <v>#VALUE!</v>
      </c>
      <c r="H1109" t="e">
        <f t="shared" si="51"/>
        <v>#VALUE!</v>
      </c>
      <c r="I1109" t="e">
        <f t="shared" si="52"/>
        <v>#VALUE!</v>
      </c>
      <c r="J1109" t="e">
        <f t="shared" ref="J1109:J1151" si="54">MOD(I1109,11)</f>
        <v>#VALUE!</v>
      </c>
      <c r="K1109" t="e">
        <f t="shared" si="53"/>
        <v>#VALUE!</v>
      </c>
    </row>
    <row r="1110" spans="1:11" hidden="1" x14ac:dyDescent="0.25">
      <c r="A1110">
        <f t="shared" si="44"/>
        <v>0</v>
      </c>
      <c r="B1110" t="e">
        <f t="shared" si="45"/>
        <v>#VALUE!</v>
      </c>
      <c r="C1110" t="e">
        <f t="shared" si="46"/>
        <v>#VALUE!</v>
      </c>
      <c r="D1110" t="e">
        <f t="shared" si="47"/>
        <v>#VALUE!</v>
      </c>
      <c r="E1110" t="e">
        <f t="shared" si="48"/>
        <v>#VALUE!</v>
      </c>
      <c r="F1110" t="e">
        <f t="shared" si="49"/>
        <v>#VALUE!</v>
      </c>
      <c r="G1110" t="e">
        <f t="shared" si="50"/>
        <v>#VALUE!</v>
      </c>
      <c r="H1110" t="e">
        <f t="shared" si="51"/>
        <v>#VALUE!</v>
      </c>
      <c r="I1110" t="e">
        <f t="shared" si="52"/>
        <v>#VALUE!</v>
      </c>
      <c r="J1110" t="e">
        <f t="shared" si="54"/>
        <v>#VALUE!</v>
      </c>
      <c r="K1110" t="e">
        <f t="shared" si="53"/>
        <v>#VALUE!</v>
      </c>
    </row>
    <row r="1111" spans="1:11" hidden="1" x14ac:dyDescent="0.25">
      <c r="A1111">
        <f t="shared" si="44"/>
        <v>0</v>
      </c>
      <c r="B1111" t="e">
        <f t="shared" si="45"/>
        <v>#VALUE!</v>
      </c>
      <c r="C1111" t="e">
        <f t="shared" si="46"/>
        <v>#VALUE!</v>
      </c>
      <c r="D1111" t="e">
        <f t="shared" si="47"/>
        <v>#VALUE!</v>
      </c>
      <c r="E1111" t="e">
        <f t="shared" si="48"/>
        <v>#VALUE!</v>
      </c>
      <c r="F1111" t="e">
        <f t="shared" si="49"/>
        <v>#VALUE!</v>
      </c>
      <c r="G1111" t="e">
        <f t="shared" si="50"/>
        <v>#VALUE!</v>
      </c>
      <c r="H1111" t="e">
        <f t="shared" si="51"/>
        <v>#VALUE!</v>
      </c>
      <c r="I1111" t="e">
        <f t="shared" si="52"/>
        <v>#VALUE!</v>
      </c>
      <c r="J1111" t="e">
        <f t="shared" si="54"/>
        <v>#VALUE!</v>
      </c>
      <c r="K1111" t="e">
        <f t="shared" si="53"/>
        <v>#VALUE!</v>
      </c>
    </row>
    <row r="1112" spans="1:11" hidden="1" x14ac:dyDescent="0.25">
      <c r="A1112">
        <f t="shared" si="44"/>
        <v>0</v>
      </c>
      <c r="B1112" t="e">
        <f t="shared" si="45"/>
        <v>#VALUE!</v>
      </c>
      <c r="C1112" t="e">
        <f t="shared" si="46"/>
        <v>#VALUE!</v>
      </c>
      <c r="D1112" t="e">
        <f t="shared" si="47"/>
        <v>#VALUE!</v>
      </c>
      <c r="E1112" t="e">
        <f t="shared" si="48"/>
        <v>#VALUE!</v>
      </c>
      <c r="F1112" t="e">
        <f t="shared" si="49"/>
        <v>#VALUE!</v>
      </c>
      <c r="G1112" t="e">
        <f t="shared" si="50"/>
        <v>#VALUE!</v>
      </c>
      <c r="H1112" t="e">
        <f t="shared" si="51"/>
        <v>#VALUE!</v>
      </c>
      <c r="I1112" t="e">
        <f t="shared" si="52"/>
        <v>#VALUE!</v>
      </c>
      <c r="J1112" t="e">
        <f t="shared" si="54"/>
        <v>#VALUE!</v>
      </c>
      <c r="K1112" t="e">
        <f t="shared" si="53"/>
        <v>#VALUE!</v>
      </c>
    </row>
    <row r="1113" spans="1:11" hidden="1" x14ac:dyDescent="0.25">
      <c r="A1113">
        <f t="shared" si="44"/>
        <v>0</v>
      </c>
      <c r="B1113" t="e">
        <f t="shared" si="45"/>
        <v>#VALUE!</v>
      </c>
      <c r="C1113" t="e">
        <f t="shared" si="46"/>
        <v>#VALUE!</v>
      </c>
      <c r="D1113" t="e">
        <f t="shared" si="47"/>
        <v>#VALUE!</v>
      </c>
      <c r="E1113" t="e">
        <f t="shared" si="48"/>
        <v>#VALUE!</v>
      </c>
      <c r="F1113" t="e">
        <f t="shared" si="49"/>
        <v>#VALUE!</v>
      </c>
      <c r="G1113" t="e">
        <f t="shared" si="50"/>
        <v>#VALUE!</v>
      </c>
      <c r="H1113" t="e">
        <f t="shared" si="51"/>
        <v>#VALUE!</v>
      </c>
      <c r="I1113" t="e">
        <f t="shared" si="52"/>
        <v>#VALUE!</v>
      </c>
      <c r="J1113" t="e">
        <f t="shared" si="54"/>
        <v>#VALUE!</v>
      </c>
      <c r="K1113" t="e">
        <f t="shared" si="53"/>
        <v>#VALUE!</v>
      </c>
    </row>
    <row r="1114" spans="1:11" hidden="1" x14ac:dyDescent="0.25">
      <c r="A1114">
        <f t="shared" si="44"/>
        <v>0</v>
      </c>
      <c r="B1114" t="e">
        <f t="shared" si="45"/>
        <v>#VALUE!</v>
      </c>
      <c r="C1114" t="e">
        <f t="shared" si="46"/>
        <v>#VALUE!</v>
      </c>
      <c r="D1114" t="e">
        <f t="shared" si="47"/>
        <v>#VALUE!</v>
      </c>
      <c r="E1114" t="e">
        <f t="shared" si="48"/>
        <v>#VALUE!</v>
      </c>
      <c r="F1114" t="e">
        <f t="shared" si="49"/>
        <v>#VALUE!</v>
      </c>
      <c r="G1114" t="e">
        <f t="shared" si="50"/>
        <v>#VALUE!</v>
      </c>
      <c r="H1114" t="e">
        <f t="shared" si="51"/>
        <v>#VALUE!</v>
      </c>
      <c r="I1114" t="e">
        <f t="shared" si="52"/>
        <v>#VALUE!</v>
      </c>
      <c r="J1114" t="e">
        <f t="shared" si="54"/>
        <v>#VALUE!</v>
      </c>
      <c r="K1114" t="e">
        <f t="shared" si="53"/>
        <v>#VALUE!</v>
      </c>
    </row>
    <row r="1115" spans="1:11" hidden="1" x14ac:dyDescent="0.25">
      <c r="A1115">
        <f t="shared" si="44"/>
        <v>0</v>
      </c>
      <c r="B1115" t="e">
        <f t="shared" si="45"/>
        <v>#VALUE!</v>
      </c>
      <c r="C1115" t="e">
        <f t="shared" si="46"/>
        <v>#VALUE!</v>
      </c>
      <c r="D1115" t="e">
        <f t="shared" si="47"/>
        <v>#VALUE!</v>
      </c>
      <c r="E1115" t="e">
        <f t="shared" si="48"/>
        <v>#VALUE!</v>
      </c>
      <c r="F1115" t="e">
        <f t="shared" si="49"/>
        <v>#VALUE!</v>
      </c>
      <c r="G1115" t="e">
        <f t="shared" si="50"/>
        <v>#VALUE!</v>
      </c>
      <c r="H1115" t="e">
        <f t="shared" si="51"/>
        <v>#VALUE!</v>
      </c>
      <c r="I1115" t="e">
        <f t="shared" si="52"/>
        <v>#VALUE!</v>
      </c>
      <c r="J1115" t="e">
        <f t="shared" si="54"/>
        <v>#VALUE!</v>
      </c>
      <c r="K1115" t="e">
        <f t="shared" si="53"/>
        <v>#VALUE!</v>
      </c>
    </row>
    <row r="1116" spans="1:11" hidden="1" x14ac:dyDescent="0.25">
      <c r="A1116">
        <f t="shared" si="44"/>
        <v>0</v>
      </c>
      <c r="B1116" t="e">
        <f t="shared" si="45"/>
        <v>#VALUE!</v>
      </c>
      <c r="C1116" t="e">
        <f t="shared" si="46"/>
        <v>#VALUE!</v>
      </c>
      <c r="D1116" t="e">
        <f t="shared" si="47"/>
        <v>#VALUE!</v>
      </c>
      <c r="E1116" t="e">
        <f t="shared" si="48"/>
        <v>#VALUE!</v>
      </c>
      <c r="F1116" t="e">
        <f t="shared" si="49"/>
        <v>#VALUE!</v>
      </c>
      <c r="G1116" t="e">
        <f t="shared" si="50"/>
        <v>#VALUE!</v>
      </c>
      <c r="H1116" t="e">
        <f t="shared" si="51"/>
        <v>#VALUE!</v>
      </c>
      <c r="I1116" t="e">
        <f t="shared" si="52"/>
        <v>#VALUE!</v>
      </c>
      <c r="J1116" t="e">
        <f t="shared" si="54"/>
        <v>#VALUE!</v>
      </c>
      <c r="K1116" t="e">
        <f t="shared" si="53"/>
        <v>#VALUE!</v>
      </c>
    </row>
    <row r="1117" spans="1:11" hidden="1" x14ac:dyDescent="0.25">
      <c r="A1117">
        <f t="shared" si="44"/>
        <v>0</v>
      </c>
      <c r="B1117" t="e">
        <f t="shared" si="45"/>
        <v>#VALUE!</v>
      </c>
      <c r="C1117" t="e">
        <f t="shared" si="46"/>
        <v>#VALUE!</v>
      </c>
      <c r="D1117" t="e">
        <f t="shared" si="47"/>
        <v>#VALUE!</v>
      </c>
      <c r="E1117" t="e">
        <f t="shared" si="48"/>
        <v>#VALUE!</v>
      </c>
      <c r="F1117" t="e">
        <f t="shared" si="49"/>
        <v>#VALUE!</v>
      </c>
      <c r="G1117" t="e">
        <f t="shared" si="50"/>
        <v>#VALUE!</v>
      </c>
      <c r="H1117" t="e">
        <f t="shared" si="51"/>
        <v>#VALUE!</v>
      </c>
      <c r="I1117" t="e">
        <f t="shared" si="52"/>
        <v>#VALUE!</v>
      </c>
      <c r="J1117" t="e">
        <f t="shared" si="54"/>
        <v>#VALUE!</v>
      </c>
      <c r="K1117" t="e">
        <f t="shared" si="53"/>
        <v>#VALUE!</v>
      </c>
    </row>
    <row r="1118" spans="1:11" hidden="1" x14ac:dyDescent="0.25">
      <c r="A1118">
        <f t="shared" si="44"/>
        <v>0</v>
      </c>
      <c r="B1118" t="e">
        <f t="shared" si="45"/>
        <v>#VALUE!</v>
      </c>
      <c r="C1118" t="e">
        <f t="shared" si="46"/>
        <v>#VALUE!</v>
      </c>
      <c r="D1118" t="e">
        <f t="shared" si="47"/>
        <v>#VALUE!</v>
      </c>
      <c r="E1118" t="e">
        <f t="shared" si="48"/>
        <v>#VALUE!</v>
      </c>
      <c r="F1118" t="e">
        <f t="shared" si="49"/>
        <v>#VALUE!</v>
      </c>
      <c r="G1118" t="e">
        <f t="shared" si="50"/>
        <v>#VALUE!</v>
      </c>
      <c r="H1118" t="e">
        <f t="shared" si="51"/>
        <v>#VALUE!</v>
      </c>
      <c r="I1118" t="e">
        <f t="shared" si="52"/>
        <v>#VALUE!</v>
      </c>
      <c r="J1118" t="e">
        <f t="shared" si="54"/>
        <v>#VALUE!</v>
      </c>
      <c r="K1118" t="e">
        <f t="shared" si="53"/>
        <v>#VALUE!</v>
      </c>
    </row>
    <row r="1119" spans="1:11" hidden="1" x14ac:dyDescent="0.25">
      <c r="A1119">
        <f t="shared" si="44"/>
        <v>0</v>
      </c>
      <c r="B1119" t="e">
        <f t="shared" si="45"/>
        <v>#VALUE!</v>
      </c>
      <c r="C1119" t="e">
        <f t="shared" si="46"/>
        <v>#VALUE!</v>
      </c>
      <c r="D1119" t="e">
        <f t="shared" si="47"/>
        <v>#VALUE!</v>
      </c>
      <c r="E1119" t="e">
        <f t="shared" si="48"/>
        <v>#VALUE!</v>
      </c>
      <c r="F1119" t="e">
        <f t="shared" si="49"/>
        <v>#VALUE!</v>
      </c>
      <c r="G1119" t="e">
        <f t="shared" si="50"/>
        <v>#VALUE!</v>
      </c>
      <c r="H1119" t="e">
        <f t="shared" si="51"/>
        <v>#VALUE!</v>
      </c>
      <c r="I1119" t="e">
        <f t="shared" si="52"/>
        <v>#VALUE!</v>
      </c>
      <c r="J1119" t="e">
        <f t="shared" si="54"/>
        <v>#VALUE!</v>
      </c>
      <c r="K1119" t="e">
        <f t="shared" si="53"/>
        <v>#VALUE!</v>
      </c>
    </row>
    <row r="1120" spans="1:11" hidden="1" x14ac:dyDescent="0.25">
      <c r="A1120">
        <f t="shared" si="44"/>
        <v>0</v>
      </c>
      <c r="B1120" t="e">
        <f t="shared" si="45"/>
        <v>#VALUE!</v>
      </c>
      <c r="C1120" t="e">
        <f t="shared" si="46"/>
        <v>#VALUE!</v>
      </c>
      <c r="D1120" t="e">
        <f t="shared" si="47"/>
        <v>#VALUE!</v>
      </c>
      <c r="E1120" t="e">
        <f t="shared" si="48"/>
        <v>#VALUE!</v>
      </c>
      <c r="F1120" t="e">
        <f t="shared" si="49"/>
        <v>#VALUE!</v>
      </c>
      <c r="G1120" t="e">
        <f t="shared" si="50"/>
        <v>#VALUE!</v>
      </c>
      <c r="H1120" t="e">
        <f t="shared" si="51"/>
        <v>#VALUE!</v>
      </c>
      <c r="I1120" t="e">
        <f t="shared" si="52"/>
        <v>#VALUE!</v>
      </c>
      <c r="J1120" t="e">
        <f t="shared" si="54"/>
        <v>#VALUE!</v>
      </c>
      <c r="K1120" t="e">
        <f t="shared" si="53"/>
        <v>#VALUE!</v>
      </c>
    </row>
    <row r="1121" spans="1:11" hidden="1" x14ac:dyDescent="0.25">
      <c r="A1121">
        <f t="shared" si="44"/>
        <v>0</v>
      </c>
      <c r="B1121" t="e">
        <f t="shared" si="45"/>
        <v>#VALUE!</v>
      </c>
      <c r="C1121" t="e">
        <f t="shared" si="46"/>
        <v>#VALUE!</v>
      </c>
      <c r="D1121" t="e">
        <f t="shared" si="47"/>
        <v>#VALUE!</v>
      </c>
      <c r="E1121" t="e">
        <f t="shared" si="48"/>
        <v>#VALUE!</v>
      </c>
      <c r="F1121" t="e">
        <f t="shared" si="49"/>
        <v>#VALUE!</v>
      </c>
      <c r="G1121" t="e">
        <f t="shared" si="50"/>
        <v>#VALUE!</v>
      </c>
      <c r="H1121" t="e">
        <f t="shared" si="51"/>
        <v>#VALUE!</v>
      </c>
      <c r="I1121" t="e">
        <f t="shared" si="52"/>
        <v>#VALUE!</v>
      </c>
      <c r="J1121" t="e">
        <f t="shared" si="54"/>
        <v>#VALUE!</v>
      </c>
      <c r="K1121" t="e">
        <f t="shared" si="53"/>
        <v>#VALUE!</v>
      </c>
    </row>
    <row r="1122" spans="1:11" hidden="1" x14ac:dyDescent="0.25">
      <c r="A1122">
        <f t="shared" si="44"/>
        <v>0</v>
      </c>
      <c r="B1122" t="e">
        <f t="shared" si="45"/>
        <v>#VALUE!</v>
      </c>
      <c r="C1122" t="e">
        <f t="shared" si="46"/>
        <v>#VALUE!</v>
      </c>
      <c r="D1122" t="e">
        <f t="shared" si="47"/>
        <v>#VALUE!</v>
      </c>
      <c r="E1122" t="e">
        <f t="shared" si="48"/>
        <v>#VALUE!</v>
      </c>
      <c r="F1122" t="e">
        <f t="shared" si="49"/>
        <v>#VALUE!</v>
      </c>
      <c r="G1122" t="e">
        <f t="shared" si="50"/>
        <v>#VALUE!</v>
      </c>
      <c r="H1122" t="e">
        <f t="shared" si="51"/>
        <v>#VALUE!</v>
      </c>
      <c r="I1122" t="e">
        <f t="shared" si="52"/>
        <v>#VALUE!</v>
      </c>
      <c r="J1122" t="e">
        <f t="shared" si="54"/>
        <v>#VALUE!</v>
      </c>
      <c r="K1122" t="e">
        <f t="shared" si="53"/>
        <v>#VALUE!</v>
      </c>
    </row>
    <row r="1123" spans="1:11" hidden="1" x14ac:dyDescent="0.25">
      <c r="A1123">
        <f t="shared" si="44"/>
        <v>0</v>
      </c>
      <c r="B1123" t="e">
        <f t="shared" si="45"/>
        <v>#VALUE!</v>
      </c>
      <c r="C1123" t="e">
        <f t="shared" si="46"/>
        <v>#VALUE!</v>
      </c>
      <c r="D1123" t="e">
        <f t="shared" si="47"/>
        <v>#VALUE!</v>
      </c>
      <c r="E1123" t="e">
        <f t="shared" si="48"/>
        <v>#VALUE!</v>
      </c>
      <c r="F1123" t="e">
        <f t="shared" si="49"/>
        <v>#VALUE!</v>
      </c>
      <c r="G1123" t="e">
        <f t="shared" si="50"/>
        <v>#VALUE!</v>
      </c>
      <c r="H1123" t="e">
        <f t="shared" si="51"/>
        <v>#VALUE!</v>
      </c>
      <c r="I1123" t="e">
        <f t="shared" si="52"/>
        <v>#VALUE!</v>
      </c>
      <c r="J1123" t="e">
        <f t="shared" si="54"/>
        <v>#VALUE!</v>
      </c>
      <c r="K1123" t="e">
        <f t="shared" si="53"/>
        <v>#VALUE!</v>
      </c>
    </row>
    <row r="1124" spans="1:11" hidden="1" x14ac:dyDescent="0.25">
      <c r="A1124">
        <f t="shared" si="44"/>
        <v>0</v>
      </c>
      <c r="B1124" t="e">
        <f t="shared" si="45"/>
        <v>#VALUE!</v>
      </c>
      <c r="C1124" t="e">
        <f t="shared" si="46"/>
        <v>#VALUE!</v>
      </c>
      <c r="D1124" t="e">
        <f t="shared" si="47"/>
        <v>#VALUE!</v>
      </c>
      <c r="E1124" t="e">
        <f t="shared" si="48"/>
        <v>#VALUE!</v>
      </c>
      <c r="F1124" t="e">
        <f t="shared" si="49"/>
        <v>#VALUE!</v>
      </c>
      <c r="G1124" t="e">
        <f t="shared" si="50"/>
        <v>#VALUE!</v>
      </c>
      <c r="H1124" t="e">
        <f t="shared" si="51"/>
        <v>#VALUE!</v>
      </c>
      <c r="I1124" t="e">
        <f t="shared" si="52"/>
        <v>#VALUE!</v>
      </c>
      <c r="J1124" t="e">
        <f t="shared" si="54"/>
        <v>#VALUE!</v>
      </c>
      <c r="K1124" t="e">
        <f t="shared" si="53"/>
        <v>#VALUE!</v>
      </c>
    </row>
    <row r="1125" spans="1:11" hidden="1" x14ac:dyDescent="0.25">
      <c r="A1125">
        <f t="shared" si="44"/>
        <v>0</v>
      </c>
      <c r="B1125" t="e">
        <f t="shared" si="45"/>
        <v>#VALUE!</v>
      </c>
      <c r="C1125" t="e">
        <f t="shared" si="46"/>
        <v>#VALUE!</v>
      </c>
      <c r="D1125" t="e">
        <f t="shared" si="47"/>
        <v>#VALUE!</v>
      </c>
      <c r="E1125" t="e">
        <f t="shared" si="48"/>
        <v>#VALUE!</v>
      </c>
      <c r="F1125" t="e">
        <f t="shared" si="49"/>
        <v>#VALUE!</v>
      </c>
      <c r="G1125" t="e">
        <f t="shared" si="50"/>
        <v>#VALUE!</v>
      </c>
      <c r="H1125" t="e">
        <f t="shared" si="51"/>
        <v>#VALUE!</v>
      </c>
      <c r="I1125" t="e">
        <f t="shared" si="52"/>
        <v>#VALUE!</v>
      </c>
      <c r="J1125" t="e">
        <f t="shared" si="54"/>
        <v>#VALUE!</v>
      </c>
      <c r="K1125" t="e">
        <f t="shared" si="53"/>
        <v>#VALUE!</v>
      </c>
    </row>
    <row r="1126" spans="1:11" hidden="1" x14ac:dyDescent="0.25">
      <c r="A1126">
        <f t="shared" si="44"/>
        <v>0</v>
      </c>
      <c r="B1126" t="e">
        <f t="shared" si="45"/>
        <v>#VALUE!</v>
      </c>
      <c r="C1126" t="e">
        <f t="shared" si="46"/>
        <v>#VALUE!</v>
      </c>
      <c r="D1126" t="e">
        <f t="shared" si="47"/>
        <v>#VALUE!</v>
      </c>
      <c r="E1126" t="e">
        <f t="shared" si="48"/>
        <v>#VALUE!</v>
      </c>
      <c r="F1126" t="e">
        <f t="shared" si="49"/>
        <v>#VALUE!</v>
      </c>
      <c r="G1126" t="e">
        <f t="shared" si="50"/>
        <v>#VALUE!</v>
      </c>
      <c r="H1126" t="e">
        <f t="shared" si="51"/>
        <v>#VALUE!</v>
      </c>
      <c r="I1126" t="e">
        <f t="shared" si="52"/>
        <v>#VALUE!</v>
      </c>
      <c r="J1126" t="e">
        <f t="shared" si="54"/>
        <v>#VALUE!</v>
      </c>
      <c r="K1126" t="e">
        <f t="shared" si="53"/>
        <v>#VALUE!</v>
      </c>
    </row>
    <row r="1127" spans="1:11" hidden="1" x14ac:dyDescent="0.25">
      <c r="A1127">
        <f t="shared" si="44"/>
        <v>0</v>
      </c>
      <c r="B1127" t="e">
        <f t="shared" si="45"/>
        <v>#VALUE!</v>
      </c>
      <c r="C1127" t="e">
        <f t="shared" si="46"/>
        <v>#VALUE!</v>
      </c>
      <c r="D1127" t="e">
        <f t="shared" si="47"/>
        <v>#VALUE!</v>
      </c>
      <c r="E1127" t="e">
        <f t="shared" si="48"/>
        <v>#VALUE!</v>
      </c>
      <c r="F1127" t="e">
        <f t="shared" si="49"/>
        <v>#VALUE!</v>
      </c>
      <c r="G1127" t="e">
        <f t="shared" si="50"/>
        <v>#VALUE!</v>
      </c>
      <c r="H1127" t="e">
        <f t="shared" si="51"/>
        <v>#VALUE!</v>
      </c>
      <c r="I1127" t="e">
        <f t="shared" si="52"/>
        <v>#VALUE!</v>
      </c>
      <c r="J1127" t="e">
        <f t="shared" si="54"/>
        <v>#VALUE!</v>
      </c>
      <c r="K1127" t="e">
        <f t="shared" si="53"/>
        <v>#VALUE!</v>
      </c>
    </row>
    <row r="1128" spans="1:11" hidden="1" x14ac:dyDescent="0.25">
      <c r="A1128">
        <f t="shared" si="44"/>
        <v>0</v>
      </c>
      <c r="B1128" t="e">
        <f t="shared" si="45"/>
        <v>#VALUE!</v>
      </c>
      <c r="C1128" t="e">
        <f t="shared" si="46"/>
        <v>#VALUE!</v>
      </c>
      <c r="D1128" t="e">
        <f t="shared" si="47"/>
        <v>#VALUE!</v>
      </c>
      <c r="E1128" t="e">
        <f t="shared" si="48"/>
        <v>#VALUE!</v>
      </c>
      <c r="F1128" t="e">
        <f t="shared" si="49"/>
        <v>#VALUE!</v>
      </c>
      <c r="G1128" t="e">
        <f t="shared" si="50"/>
        <v>#VALUE!</v>
      </c>
      <c r="H1128" t="e">
        <f t="shared" si="51"/>
        <v>#VALUE!</v>
      </c>
      <c r="I1128" t="e">
        <f t="shared" si="52"/>
        <v>#VALUE!</v>
      </c>
      <c r="J1128" t="e">
        <f t="shared" si="54"/>
        <v>#VALUE!</v>
      </c>
      <c r="K1128" t="e">
        <f t="shared" si="53"/>
        <v>#VALUE!</v>
      </c>
    </row>
    <row r="1129" spans="1:11" hidden="1" x14ac:dyDescent="0.25">
      <c r="A1129">
        <f t="shared" si="44"/>
        <v>0</v>
      </c>
      <c r="B1129" t="e">
        <f t="shared" si="45"/>
        <v>#VALUE!</v>
      </c>
      <c r="C1129" t="e">
        <f t="shared" si="46"/>
        <v>#VALUE!</v>
      </c>
      <c r="D1129" t="e">
        <f t="shared" si="47"/>
        <v>#VALUE!</v>
      </c>
      <c r="E1129" t="e">
        <f t="shared" si="48"/>
        <v>#VALUE!</v>
      </c>
      <c r="F1129" t="e">
        <f t="shared" si="49"/>
        <v>#VALUE!</v>
      </c>
      <c r="G1129" t="e">
        <f t="shared" si="50"/>
        <v>#VALUE!</v>
      </c>
      <c r="H1129" t="e">
        <f t="shared" si="51"/>
        <v>#VALUE!</v>
      </c>
      <c r="I1129" t="e">
        <f t="shared" si="52"/>
        <v>#VALUE!</v>
      </c>
      <c r="J1129" t="e">
        <f t="shared" si="54"/>
        <v>#VALUE!</v>
      </c>
      <c r="K1129" t="e">
        <f t="shared" si="53"/>
        <v>#VALUE!</v>
      </c>
    </row>
    <row r="1130" spans="1:11" hidden="1" x14ac:dyDescent="0.25">
      <c r="A1130">
        <f t="shared" si="44"/>
        <v>0</v>
      </c>
      <c r="B1130" t="e">
        <f t="shared" si="45"/>
        <v>#VALUE!</v>
      </c>
      <c r="C1130" t="e">
        <f t="shared" si="46"/>
        <v>#VALUE!</v>
      </c>
      <c r="D1130" t="e">
        <f t="shared" si="47"/>
        <v>#VALUE!</v>
      </c>
      <c r="E1130" t="e">
        <f t="shared" si="48"/>
        <v>#VALUE!</v>
      </c>
      <c r="F1130" t="e">
        <f t="shared" si="49"/>
        <v>#VALUE!</v>
      </c>
      <c r="G1130" t="e">
        <f t="shared" si="50"/>
        <v>#VALUE!</v>
      </c>
      <c r="H1130" t="e">
        <f t="shared" si="51"/>
        <v>#VALUE!</v>
      </c>
      <c r="I1130" t="e">
        <f t="shared" si="52"/>
        <v>#VALUE!</v>
      </c>
      <c r="J1130" t="e">
        <f t="shared" si="54"/>
        <v>#VALUE!</v>
      </c>
      <c r="K1130" t="e">
        <f t="shared" si="53"/>
        <v>#VALUE!</v>
      </c>
    </row>
    <row r="1131" spans="1:11" hidden="1" x14ac:dyDescent="0.25">
      <c r="A1131">
        <f t="shared" si="44"/>
        <v>0</v>
      </c>
      <c r="B1131" t="e">
        <f t="shared" si="45"/>
        <v>#VALUE!</v>
      </c>
      <c r="C1131" t="e">
        <f t="shared" si="46"/>
        <v>#VALUE!</v>
      </c>
      <c r="D1131" t="e">
        <f t="shared" si="47"/>
        <v>#VALUE!</v>
      </c>
      <c r="E1131" t="e">
        <f t="shared" si="48"/>
        <v>#VALUE!</v>
      </c>
      <c r="F1131" t="e">
        <f t="shared" si="49"/>
        <v>#VALUE!</v>
      </c>
      <c r="G1131" t="e">
        <f t="shared" si="50"/>
        <v>#VALUE!</v>
      </c>
      <c r="H1131" t="e">
        <f t="shared" si="51"/>
        <v>#VALUE!</v>
      </c>
      <c r="I1131" t="e">
        <f t="shared" si="52"/>
        <v>#VALUE!</v>
      </c>
      <c r="J1131" t="e">
        <f t="shared" si="54"/>
        <v>#VALUE!</v>
      </c>
      <c r="K1131" t="e">
        <f t="shared" si="53"/>
        <v>#VALUE!</v>
      </c>
    </row>
    <row r="1132" spans="1:11" hidden="1" x14ac:dyDescent="0.25">
      <c r="A1132">
        <f t="shared" si="44"/>
        <v>0</v>
      </c>
      <c r="B1132" t="e">
        <f t="shared" si="45"/>
        <v>#VALUE!</v>
      </c>
      <c r="C1132" t="e">
        <f t="shared" si="46"/>
        <v>#VALUE!</v>
      </c>
      <c r="D1132" t="e">
        <f t="shared" si="47"/>
        <v>#VALUE!</v>
      </c>
      <c r="E1132" t="e">
        <f t="shared" si="48"/>
        <v>#VALUE!</v>
      </c>
      <c r="F1132" t="e">
        <f t="shared" si="49"/>
        <v>#VALUE!</v>
      </c>
      <c r="G1132" t="e">
        <f t="shared" si="50"/>
        <v>#VALUE!</v>
      </c>
      <c r="H1132" t="e">
        <f t="shared" si="51"/>
        <v>#VALUE!</v>
      </c>
      <c r="I1132" t="e">
        <f t="shared" si="52"/>
        <v>#VALUE!</v>
      </c>
      <c r="J1132" t="e">
        <f t="shared" si="54"/>
        <v>#VALUE!</v>
      </c>
      <c r="K1132" t="e">
        <f t="shared" si="53"/>
        <v>#VALUE!</v>
      </c>
    </row>
    <row r="1133" spans="1:11" hidden="1" x14ac:dyDescent="0.25">
      <c r="A1133">
        <f t="shared" si="44"/>
        <v>0</v>
      </c>
      <c r="B1133" t="e">
        <f t="shared" si="45"/>
        <v>#VALUE!</v>
      </c>
      <c r="C1133" t="e">
        <f t="shared" si="46"/>
        <v>#VALUE!</v>
      </c>
      <c r="D1133" t="e">
        <f t="shared" si="47"/>
        <v>#VALUE!</v>
      </c>
      <c r="E1133" t="e">
        <f t="shared" si="48"/>
        <v>#VALUE!</v>
      </c>
      <c r="F1133" t="e">
        <f t="shared" si="49"/>
        <v>#VALUE!</v>
      </c>
      <c r="G1133" t="e">
        <f t="shared" si="50"/>
        <v>#VALUE!</v>
      </c>
      <c r="H1133" t="e">
        <f t="shared" si="51"/>
        <v>#VALUE!</v>
      </c>
      <c r="I1133" t="e">
        <f t="shared" si="52"/>
        <v>#VALUE!</v>
      </c>
      <c r="J1133" t="e">
        <f t="shared" si="54"/>
        <v>#VALUE!</v>
      </c>
      <c r="K1133" t="e">
        <f t="shared" si="53"/>
        <v>#VALUE!</v>
      </c>
    </row>
    <row r="1134" spans="1:11" hidden="1" x14ac:dyDescent="0.25">
      <c r="A1134">
        <f t="shared" si="44"/>
        <v>0</v>
      </c>
      <c r="B1134" t="e">
        <f t="shared" si="45"/>
        <v>#VALUE!</v>
      </c>
      <c r="C1134" t="e">
        <f t="shared" si="46"/>
        <v>#VALUE!</v>
      </c>
      <c r="D1134" t="e">
        <f t="shared" si="47"/>
        <v>#VALUE!</v>
      </c>
      <c r="E1134" t="e">
        <f t="shared" si="48"/>
        <v>#VALUE!</v>
      </c>
      <c r="F1134" t="e">
        <f t="shared" si="49"/>
        <v>#VALUE!</v>
      </c>
      <c r="G1134" t="e">
        <f t="shared" si="50"/>
        <v>#VALUE!</v>
      </c>
      <c r="H1134" t="e">
        <f t="shared" si="51"/>
        <v>#VALUE!</v>
      </c>
      <c r="I1134" t="e">
        <f t="shared" si="52"/>
        <v>#VALUE!</v>
      </c>
      <c r="J1134" t="e">
        <f t="shared" si="54"/>
        <v>#VALUE!</v>
      </c>
      <c r="K1134" t="e">
        <f t="shared" si="53"/>
        <v>#VALUE!</v>
      </c>
    </row>
    <row r="1135" spans="1:11" hidden="1" x14ac:dyDescent="0.25">
      <c r="A1135">
        <f t="shared" si="44"/>
        <v>0</v>
      </c>
      <c r="B1135" t="e">
        <f t="shared" si="45"/>
        <v>#VALUE!</v>
      </c>
      <c r="C1135" t="e">
        <f t="shared" si="46"/>
        <v>#VALUE!</v>
      </c>
      <c r="D1135" t="e">
        <f t="shared" si="47"/>
        <v>#VALUE!</v>
      </c>
      <c r="E1135" t="e">
        <f t="shared" si="48"/>
        <v>#VALUE!</v>
      </c>
      <c r="F1135" t="e">
        <f t="shared" si="49"/>
        <v>#VALUE!</v>
      </c>
      <c r="G1135" t="e">
        <f t="shared" si="50"/>
        <v>#VALUE!</v>
      </c>
      <c r="H1135" t="e">
        <f t="shared" si="51"/>
        <v>#VALUE!</v>
      </c>
      <c r="I1135" t="e">
        <f t="shared" si="52"/>
        <v>#VALUE!</v>
      </c>
      <c r="J1135" t="e">
        <f t="shared" si="54"/>
        <v>#VALUE!</v>
      </c>
      <c r="K1135" t="e">
        <f t="shared" si="53"/>
        <v>#VALUE!</v>
      </c>
    </row>
    <row r="1136" spans="1:11" hidden="1" x14ac:dyDescent="0.25">
      <c r="A1136">
        <f t="shared" si="44"/>
        <v>0</v>
      </c>
      <c r="B1136" t="e">
        <f t="shared" si="45"/>
        <v>#VALUE!</v>
      </c>
      <c r="C1136" t="e">
        <f t="shared" si="46"/>
        <v>#VALUE!</v>
      </c>
      <c r="D1136" t="e">
        <f t="shared" si="47"/>
        <v>#VALUE!</v>
      </c>
      <c r="E1136" t="e">
        <f t="shared" si="48"/>
        <v>#VALUE!</v>
      </c>
      <c r="F1136" t="e">
        <f t="shared" si="49"/>
        <v>#VALUE!</v>
      </c>
      <c r="G1136" t="e">
        <f t="shared" si="50"/>
        <v>#VALUE!</v>
      </c>
      <c r="H1136" t="e">
        <f t="shared" si="51"/>
        <v>#VALUE!</v>
      </c>
      <c r="I1136" t="e">
        <f t="shared" si="52"/>
        <v>#VALUE!</v>
      </c>
      <c r="J1136" t="e">
        <f t="shared" si="54"/>
        <v>#VALUE!</v>
      </c>
      <c r="K1136" t="e">
        <f t="shared" si="53"/>
        <v>#VALUE!</v>
      </c>
    </row>
    <row r="1137" spans="1:11" hidden="1" x14ac:dyDescent="0.25">
      <c r="A1137">
        <f t="shared" si="44"/>
        <v>0</v>
      </c>
      <c r="B1137" t="e">
        <f t="shared" si="45"/>
        <v>#VALUE!</v>
      </c>
      <c r="C1137" t="e">
        <f t="shared" si="46"/>
        <v>#VALUE!</v>
      </c>
      <c r="D1137" t="e">
        <f t="shared" si="47"/>
        <v>#VALUE!</v>
      </c>
      <c r="E1137" t="e">
        <f t="shared" si="48"/>
        <v>#VALUE!</v>
      </c>
      <c r="F1137" t="e">
        <f t="shared" si="49"/>
        <v>#VALUE!</v>
      </c>
      <c r="G1137" t="e">
        <f t="shared" si="50"/>
        <v>#VALUE!</v>
      </c>
      <c r="H1137" t="e">
        <f t="shared" si="51"/>
        <v>#VALUE!</v>
      </c>
      <c r="I1137" t="e">
        <f t="shared" si="52"/>
        <v>#VALUE!</v>
      </c>
      <c r="J1137" t="e">
        <f t="shared" si="54"/>
        <v>#VALUE!</v>
      </c>
      <c r="K1137" t="e">
        <f t="shared" si="53"/>
        <v>#VALUE!</v>
      </c>
    </row>
    <row r="1138" spans="1:11" hidden="1" x14ac:dyDescent="0.25">
      <c r="A1138">
        <f t="shared" si="44"/>
        <v>0</v>
      </c>
      <c r="B1138" t="e">
        <f t="shared" si="45"/>
        <v>#VALUE!</v>
      </c>
      <c r="C1138" t="e">
        <f t="shared" si="46"/>
        <v>#VALUE!</v>
      </c>
      <c r="D1138" t="e">
        <f t="shared" si="47"/>
        <v>#VALUE!</v>
      </c>
      <c r="E1138" t="e">
        <f t="shared" si="48"/>
        <v>#VALUE!</v>
      </c>
      <c r="F1138" t="e">
        <f t="shared" si="49"/>
        <v>#VALUE!</v>
      </c>
      <c r="G1138" t="e">
        <f t="shared" si="50"/>
        <v>#VALUE!</v>
      </c>
      <c r="H1138" t="e">
        <f t="shared" si="51"/>
        <v>#VALUE!</v>
      </c>
      <c r="I1138" t="e">
        <f t="shared" si="52"/>
        <v>#VALUE!</v>
      </c>
      <c r="J1138" t="e">
        <f t="shared" si="54"/>
        <v>#VALUE!</v>
      </c>
      <c r="K1138" t="e">
        <f t="shared" si="53"/>
        <v>#VALUE!</v>
      </c>
    </row>
    <row r="1139" spans="1:11" hidden="1" x14ac:dyDescent="0.25">
      <c r="A1139">
        <f t="shared" si="44"/>
        <v>0</v>
      </c>
      <c r="B1139" t="e">
        <f t="shared" si="45"/>
        <v>#VALUE!</v>
      </c>
      <c r="C1139" t="e">
        <f t="shared" si="46"/>
        <v>#VALUE!</v>
      </c>
      <c r="D1139" t="e">
        <f t="shared" si="47"/>
        <v>#VALUE!</v>
      </c>
      <c r="E1139" t="e">
        <f t="shared" si="48"/>
        <v>#VALUE!</v>
      </c>
      <c r="F1139" t="e">
        <f t="shared" si="49"/>
        <v>#VALUE!</v>
      </c>
      <c r="G1139" t="e">
        <f t="shared" si="50"/>
        <v>#VALUE!</v>
      </c>
      <c r="H1139" t="e">
        <f t="shared" si="51"/>
        <v>#VALUE!</v>
      </c>
      <c r="I1139" t="e">
        <f t="shared" si="52"/>
        <v>#VALUE!</v>
      </c>
      <c r="J1139" t="e">
        <f t="shared" si="54"/>
        <v>#VALUE!</v>
      </c>
      <c r="K1139" t="e">
        <f t="shared" si="53"/>
        <v>#VALUE!</v>
      </c>
    </row>
    <row r="1140" spans="1:11" hidden="1" x14ac:dyDescent="0.25">
      <c r="A1140">
        <f t="shared" si="44"/>
        <v>0</v>
      </c>
      <c r="B1140" t="e">
        <f t="shared" si="45"/>
        <v>#VALUE!</v>
      </c>
      <c r="C1140" t="e">
        <f t="shared" si="46"/>
        <v>#VALUE!</v>
      </c>
      <c r="D1140" t="e">
        <f t="shared" si="47"/>
        <v>#VALUE!</v>
      </c>
      <c r="E1140" t="e">
        <f t="shared" si="48"/>
        <v>#VALUE!</v>
      </c>
      <c r="F1140" t="e">
        <f t="shared" si="49"/>
        <v>#VALUE!</v>
      </c>
      <c r="G1140" t="e">
        <f t="shared" si="50"/>
        <v>#VALUE!</v>
      </c>
      <c r="H1140" t="e">
        <f t="shared" si="51"/>
        <v>#VALUE!</v>
      </c>
      <c r="I1140" t="e">
        <f t="shared" si="52"/>
        <v>#VALUE!</v>
      </c>
      <c r="J1140" t="e">
        <f t="shared" si="54"/>
        <v>#VALUE!</v>
      </c>
      <c r="K1140" t="e">
        <f t="shared" si="53"/>
        <v>#VALUE!</v>
      </c>
    </row>
    <row r="1141" spans="1:11" hidden="1" x14ac:dyDescent="0.25">
      <c r="A1141">
        <f t="shared" si="44"/>
        <v>0</v>
      </c>
      <c r="B1141" t="e">
        <f t="shared" si="45"/>
        <v>#VALUE!</v>
      </c>
      <c r="C1141" t="e">
        <f t="shared" si="46"/>
        <v>#VALUE!</v>
      </c>
      <c r="D1141" t="e">
        <f t="shared" si="47"/>
        <v>#VALUE!</v>
      </c>
      <c r="E1141" t="e">
        <f t="shared" si="48"/>
        <v>#VALUE!</v>
      </c>
      <c r="F1141" t="e">
        <f t="shared" si="49"/>
        <v>#VALUE!</v>
      </c>
      <c r="G1141" t="e">
        <f t="shared" si="50"/>
        <v>#VALUE!</v>
      </c>
      <c r="H1141" t="e">
        <f t="shared" si="51"/>
        <v>#VALUE!</v>
      </c>
      <c r="I1141" t="e">
        <f t="shared" si="52"/>
        <v>#VALUE!</v>
      </c>
      <c r="J1141" t="e">
        <f t="shared" si="54"/>
        <v>#VALUE!</v>
      </c>
      <c r="K1141" t="e">
        <f t="shared" si="53"/>
        <v>#VALUE!</v>
      </c>
    </row>
    <row r="1142" spans="1:11" hidden="1" x14ac:dyDescent="0.25">
      <c r="A1142">
        <f t="shared" si="44"/>
        <v>0</v>
      </c>
      <c r="B1142" t="e">
        <f t="shared" si="45"/>
        <v>#VALUE!</v>
      </c>
      <c r="C1142" t="e">
        <f t="shared" si="46"/>
        <v>#VALUE!</v>
      </c>
      <c r="D1142" t="e">
        <f t="shared" si="47"/>
        <v>#VALUE!</v>
      </c>
      <c r="E1142" t="e">
        <f t="shared" si="48"/>
        <v>#VALUE!</v>
      </c>
      <c r="F1142" t="e">
        <f t="shared" si="49"/>
        <v>#VALUE!</v>
      </c>
      <c r="G1142" t="e">
        <f t="shared" si="50"/>
        <v>#VALUE!</v>
      </c>
      <c r="H1142" t="e">
        <f t="shared" si="51"/>
        <v>#VALUE!</v>
      </c>
      <c r="I1142" t="e">
        <f t="shared" si="52"/>
        <v>#VALUE!</v>
      </c>
      <c r="J1142" t="e">
        <f t="shared" si="54"/>
        <v>#VALUE!</v>
      </c>
      <c r="K1142" t="e">
        <f t="shared" si="53"/>
        <v>#VALUE!</v>
      </c>
    </row>
    <row r="1143" spans="1:11" hidden="1" x14ac:dyDescent="0.25">
      <c r="A1143">
        <f t="shared" si="44"/>
        <v>0</v>
      </c>
      <c r="B1143" t="e">
        <f t="shared" si="45"/>
        <v>#VALUE!</v>
      </c>
      <c r="C1143" t="e">
        <f t="shared" si="46"/>
        <v>#VALUE!</v>
      </c>
      <c r="D1143" t="e">
        <f t="shared" si="47"/>
        <v>#VALUE!</v>
      </c>
      <c r="E1143" t="e">
        <f t="shared" si="48"/>
        <v>#VALUE!</v>
      </c>
      <c r="F1143" t="e">
        <f t="shared" si="49"/>
        <v>#VALUE!</v>
      </c>
      <c r="G1143" t="e">
        <f t="shared" si="50"/>
        <v>#VALUE!</v>
      </c>
      <c r="H1143" t="e">
        <f t="shared" si="51"/>
        <v>#VALUE!</v>
      </c>
      <c r="I1143" t="e">
        <f t="shared" si="52"/>
        <v>#VALUE!</v>
      </c>
      <c r="J1143" t="e">
        <f t="shared" si="54"/>
        <v>#VALUE!</v>
      </c>
      <c r="K1143" t="e">
        <f t="shared" si="53"/>
        <v>#VALUE!</v>
      </c>
    </row>
    <row r="1144" spans="1:11" hidden="1" x14ac:dyDescent="0.25">
      <c r="A1144">
        <f t="shared" si="44"/>
        <v>0</v>
      </c>
      <c r="B1144" t="e">
        <f t="shared" si="45"/>
        <v>#VALUE!</v>
      </c>
      <c r="C1144" t="e">
        <f t="shared" si="46"/>
        <v>#VALUE!</v>
      </c>
      <c r="D1144" t="e">
        <f t="shared" si="47"/>
        <v>#VALUE!</v>
      </c>
      <c r="E1144" t="e">
        <f t="shared" si="48"/>
        <v>#VALUE!</v>
      </c>
      <c r="F1144" t="e">
        <f t="shared" si="49"/>
        <v>#VALUE!</v>
      </c>
      <c r="G1144" t="e">
        <f t="shared" si="50"/>
        <v>#VALUE!</v>
      </c>
      <c r="H1144" t="e">
        <f t="shared" si="51"/>
        <v>#VALUE!</v>
      </c>
      <c r="I1144" t="e">
        <f t="shared" si="52"/>
        <v>#VALUE!</v>
      </c>
      <c r="J1144" t="e">
        <f t="shared" si="54"/>
        <v>#VALUE!</v>
      </c>
      <c r="K1144" t="e">
        <f t="shared" si="53"/>
        <v>#VALUE!</v>
      </c>
    </row>
    <row r="1145" spans="1:11" hidden="1" x14ac:dyDescent="0.25">
      <c r="A1145">
        <f t="shared" si="44"/>
        <v>0</v>
      </c>
      <c r="B1145" t="e">
        <f t="shared" si="45"/>
        <v>#VALUE!</v>
      </c>
      <c r="C1145" t="e">
        <f t="shared" si="46"/>
        <v>#VALUE!</v>
      </c>
      <c r="D1145" t="e">
        <f t="shared" si="47"/>
        <v>#VALUE!</v>
      </c>
      <c r="E1145" t="e">
        <f t="shared" si="48"/>
        <v>#VALUE!</v>
      </c>
      <c r="F1145" t="e">
        <f t="shared" si="49"/>
        <v>#VALUE!</v>
      </c>
      <c r="G1145" t="e">
        <f t="shared" si="50"/>
        <v>#VALUE!</v>
      </c>
      <c r="H1145" t="e">
        <f t="shared" si="51"/>
        <v>#VALUE!</v>
      </c>
      <c r="I1145" t="e">
        <f t="shared" si="52"/>
        <v>#VALUE!</v>
      </c>
      <c r="J1145" t="e">
        <f t="shared" si="54"/>
        <v>#VALUE!</v>
      </c>
      <c r="K1145" t="e">
        <f t="shared" si="53"/>
        <v>#VALUE!</v>
      </c>
    </row>
    <row r="1146" spans="1:11" hidden="1" x14ac:dyDescent="0.25">
      <c r="A1146">
        <f t="shared" si="44"/>
        <v>0</v>
      </c>
      <c r="B1146" t="e">
        <f t="shared" si="45"/>
        <v>#VALUE!</v>
      </c>
      <c r="C1146" t="e">
        <f t="shared" si="46"/>
        <v>#VALUE!</v>
      </c>
      <c r="D1146" t="e">
        <f t="shared" si="47"/>
        <v>#VALUE!</v>
      </c>
      <c r="E1146" t="e">
        <f t="shared" si="48"/>
        <v>#VALUE!</v>
      </c>
      <c r="F1146" t="e">
        <f t="shared" si="49"/>
        <v>#VALUE!</v>
      </c>
      <c r="G1146" t="e">
        <f t="shared" si="50"/>
        <v>#VALUE!</v>
      </c>
      <c r="H1146" t="e">
        <f t="shared" si="51"/>
        <v>#VALUE!</v>
      </c>
      <c r="I1146" t="e">
        <f t="shared" si="52"/>
        <v>#VALUE!</v>
      </c>
      <c r="J1146" t="e">
        <f t="shared" si="54"/>
        <v>#VALUE!</v>
      </c>
      <c r="K1146" t="e">
        <f t="shared" si="53"/>
        <v>#VALUE!</v>
      </c>
    </row>
    <row r="1147" spans="1:11" hidden="1" x14ac:dyDescent="0.25">
      <c r="A1147">
        <f t="shared" si="44"/>
        <v>0</v>
      </c>
      <c r="B1147" t="e">
        <f t="shared" si="45"/>
        <v>#VALUE!</v>
      </c>
      <c r="C1147" t="e">
        <f t="shared" si="46"/>
        <v>#VALUE!</v>
      </c>
      <c r="D1147" t="e">
        <f t="shared" si="47"/>
        <v>#VALUE!</v>
      </c>
      <c r="E1147" t="e">
        <f t="shared" si="48"/>
        <v>#VALUE!</v>
      </c>
      <c r="F1147" t="e">
        <f t="shared" si="49"/>
        <v>#VALUE!</v>
      </c>
      <c r="G1147" t="e">
        <f t="shared" si="50"/>
        <v>#VALUE!</v>
      </c>
      <c r="H1147" t="e">
        <f t="shared" si="51"/>
        <v>#VALUE!</v>
      </c>
      <c r="I1147" t="e">
        <f t="shared" si="52"/>
        <v>#VALUE!</v>
      </c>
      <c r="J1147" t="e">
        <f t="shared" si="54"/>
        <v>#VALUE!</v>
      </c>
      <c r="K1147" t="e">
        <f t="shared" si="53"/>
        <v>#VALUE!</v>
      </c>
    </row>
    <row r="1148" spans="1:11" hidden="1" x14ac:dyDescent="0.25">
      <c r="A1148">
        <f t="shared" si="44"/>
        <v>0</v>
      </c>
      <c r="B1148" t="e">
        <f t="shared" si="45"/>
        <v>#VALUE!</v>
      </c>
      <c r="C1148" t="e">
        <f t="shared" si="46"/>
        <v>#VALUE!</v>
      </c>
      <c r="D1148" t="e">
        <f t="shared" si="47"/>
        <v>#VALUE!</v>
      </c>
      <c r="E1148" t="e">
        <f t="shared" si="48"/>
        <v>#VALUE!</v>
      </c>
      <c r="F1148" t="e">
        <f t="shared" si="49"/>
        <v>#VALUE!</v>
      </c>
      <c r="G1148" t="e">
        <f t="shared" si="50"/>
        <v>#VALUE!</v>
      </c>
      <c r="H1148" t="e">
        <f t="shared" si="51"/>
        <v>#VALUE!</v>
      </c>
      <c r="I1148" t="e">
        <f t="shared" si="52"/>
        <v>#VALUE!</v>
      </c>
      <c r="J1148" t="e">
        <f t="shared" si="54"/>
        <v>#VALUE!</v>
      </c>
      <c r="K1148" t="e">
        <f t="shared" si="53"/>
        <v>#VALUE!</v>
      </c>
    </row>
    <row r="1149" spans="1:11" hidden="1" x14ac:dyDescent="0.25">
      <c r="A1149">
        <f t="shared" si="44"/>
        <v>0</v>
      </c>
      <c r="B1149" t="e">
        <f t="shared" si="45"/>
        <v>#VALUE!</v>
      </c>
      <c r="C1149" t="e">
        <f t="shared" si="46"/>
        <v>#VALUE!</v>
      </c>
      <c r="D1149" t="e">
        <f t="shared" si="47"/>
        <v>#VALUE!</v>
      </c>
      <c r="E1149" t="e">
        <f t="shared" si="48"/>
        <v>#VALUE!</v>
      </c>
      <c r="F1149" t="e">
        <f t="shared" si="49"/>
        <v>#VALUE!</v>
      </c>
      <c r="G1149" t="e">
        <f t="shared" si="50"/>
        <v>#VALUE!</v>
      </c>
      <c r="H1149" t="e">
        <f t="shared" si="51"/>
        <v>#VALUE!</v>
      </c>
      <c r="I1149" t="e">
        <f t="shared" si="52"/>
        <v>#VALUE!</v>
      </c>
      <c r="J1149" t="e">
        <f t="shared" si="54"/>
        <v>#VALUE!</v>
      </c>
      <c r="K1149" t="e">
        <f t="shared" si="53"/>
        <v>#VALUE!</v>
      </c>
    </row>
    <row r="1150" spans="1:11" hidden="1" x14ac:dyDescent="0.25">
      <c r="A1150">
        <f t="shared" si="44"/>
        <v>0</v>
      </c>
      <c r="B1150" t="e">
        <f t="shared" si="45"/>
        <v>#VALUE!</v>
      </c>
      <c r="C1150" t="e">
        <f t="shared" si="46"/>
        <v>#VALUE!</v>
      </c>
      <c r="D1150" t="e">
        <f t="shared" si="47"/>
        <v>#VALUE!</v>
      </c>
      <c r="E1150" t="e">
        <f t="shared" si="48"/>
        <v>#VALUE!</v>
      </c>
      <c r="F1150" t="e">
        <f t="shared" si="49"/>
        <v>#VALUE!</v>
      </c>
      <c r="G1150" t="e">
        <f t="shared" si="50"/>
        <v>#VALUE!</v>
      </c>
      <c r="H1150" t="e">
        <f t="shared" si="51"/>
        <v>#VALUE!</v>
      </c>
      <c r="I1150" t="e">
        <f t="shared" si="52"/>
        <v>#VALUE!</v>
      </c>
      <c r="J1150" t="e">
        <f t="shared" si="54"/>
        <v>#VALUE!</v>
      </c>
      <c r="K1150" t="e">
        <f t="shared" si="53"/>
        <v>#VALUE!</v>
      </c>
    </row>
    <row r="1151" spans="1:11" hidden="1" x14ac:dyDescent="0.25">
      <c r="A1151">
        <f t="shared" si="44"/>
        <v>0</v>
      </c>
      <c r="B1151" t="e">
        <f t="shared" si="45"/>
        <v>#VALUE!</v>
      </c>
      <c r="C1151" t="e">
        <f t="shared" si="46"/>
        <v>#VALUE!</v>
      </c>
      <c r="D1151" t="e">
        <f t="shared" si="47"/>
        <v>#VALUE!</v>
      </c>
      <c r="E1151" t="e">
        <f t="shared" si="48"/>
        <v>#VALUE!</v>
      </c>
      <c r="F1151" t="e">
        <f t="shared" si="49"/>
        <v>#VALUE!</v>
      </c>
      <c r="G1151" t="e">
        <f t="shared" si="50"/>
        <v>#VALUE!</v>
      </c>
      <c r="H1151" t="e">
        <f t="shared" si="51"/>
        <v>#VALUE!</v>
      </c>
      <c r="I1151" t="e">
        <f t="shared" si="52"/>
        <v>#VALUE!</v>
      </c>
      <c r="J1151" t="e">
        <f t="shared" si="54"/>
        <v>#VALUE!</v>
      </c>
      <c r="K1151" t="e">
        <f t="shared" si="53"/>
        <v>#VALUE!</v>
      </c>
    </row>
    <row r="1152" spans="1:11" hidden="1" x14ac:dyDescent="0.25"/>
    <row r="1153" spans="1:1" hidden="1" x14ac:dyDescent="0.25">
      <c r="A1153" s="7" t="s">
        <v>684</v>
      </c>
    </row>
    <row r="1154" spans="1:1" hidden="1" x14ac:dyDescent="0.25">
      <c r="A1154" t="s">
        <v>601</v>
      </c>
    </row>
    <row r="1155" spans="1:1" hidden="1" x14ac:dyDescent="0.25">
      <c r="A1155" t="s">
        <v>579</v>
      </c>
    </row>
    <row r="1156" spans="1:1" hidden="1" x14ac:dyDescent="0.25"/>
    <row r="1157" spans="1:1" hidden="1" x14ac:dyDescent="0.25">
      <c r="A1157" s="7" t="s">
        <v>685</v>
      </c>
    </row>
    <row r="1158" spans="1:1" hidden="1" x14ac:dyDescent="0.25">
      <c r="A1158" t="s">
        <v>577</v>
      </c>
    </row>
    <row r="1159" spans="1:1" hidden="1" x14ac:dyDescent="0.25">
      <c r="A1159" t="s">
        <v>563</v>
      </c>
    </row>
    <row r="1160" spans="1:1" hidden="1" x14ac:dyDescent="0.25"/>
  </sheetData>
  <sheetProtection password="A67F" sheet="1" selectLockedCells="1"/>
  <mergeCells count="1">
    <mergeCell ref="A1:N1"/>
  </mergeCells>
  <conditionalFormatting sqref="B12:B311">
    <cfRule type="expression" dxfId="22" priority="46" stopIfTrue="1">
      <formula>AND(LEN(B12)=9,RIGHT(B12,1)=K852)</formula>
    </cfRule>
  </conditionalFormatting>
  <conditionalFormatting sqref="C12:C311">
    <cfRule type="expression" dxfId="21" priority="45" stopIfTrue="1">
      <formula>AND(ISNUMBER(SUMPRODUCT(SEARCH(MID(C12,ROW(INDIRECT("1:"&amp;LEN(C12))),1),"0123456789abcdefghijklmnopqrstuvwxyzABCDEFGHIJKLMNOPQRSTUVWXYZ~!@#$%^*(_+{}|:?`-=[]\;,./ )'&amp;&lt;""&gt;"))), LEN(C12)&lt;31)</formula>
    </cfRule>
  </conditionalFormatting>
  <conditionalFormatting sqref="D12:E311">
    <cfRule type="expression" dxfId="20" priority="43" stopIfTrue="1">
      <formula>AND(ISNUMBER(SUMPRODUCT(SEARCH(MID(D12,ROW(INDIRECT("1:"&amp;LEN(D12))),1),"0123456789abcdefghijklmnopqrstuvwxyzABCDEFGHIJKLMNOPQRSTUVWXYZ~!@#$%^*(_+{}|:?`-=[]\;,./&amp;&lt;&gt;'"" )"))), LEN(D12)&lt;81)</formula>
    </cfRule>
  </conditionalFormatting>
  <conditionalFormatting sqref="E5">
    <cfRule type="expression" dxfId="19" priority="10" stopIfTrue="1">
      <formula>AND(ISNUMBER(E5),LEN(E5)=8,LEFT(E5,4)&gt;"1899", MID(E5,5,2)&lt;"13",RIGHT(E5,2)&lt;"32")</formula>
    </cfRule>
  </conditionalFormatting>
  <conditionalFormatting sqref="F5">
    <cfRule type="expression" dxfId="18" priority="18" stopIfTrue="1">
      <formula>AND(ISNUMBER(SUMPRODUCT(SEARCH(MID(F5,ROW(INDIRECT("1:"&amp;LEN(F5))),1),"0123456789abcdefghijklmnopqrstuvwxyzABCDEFGHIJKLMNOPQRSTUVWXYZ~!@#$%^*(_+{}|:?`-=[]\;,./&amp;&lt;&gt;'"" )"))), LEN(F5)&lt;101)</formula>
    </cfRule>
  </conditionalFormatting>
  <conditionalFormatting sqref="F12:F311">
    <cfRule type="expression" dxfId="17" priority="51" stopIfTrue="1">
      <formula xml:space="preserve"> MATCH(F12, SPR_FIN,0)</formula>
    </cfRule>
  </conditionalFormatting>
  <conditionalFormatting sqref="G5">
    <cfRule type="expression" dxfId="16" priority="2" stopIfTrue="1">
      <formula>AND(ISNUMBER(SUMPRODUCT(SEARCH(MID(G5,ROW(INDIRECT("1:"&amp;LEN(G5))),1),"0123456789abcdefghijklmnopqrstuvwxyzABCDEFGHIJKLMNOPQRSTUVWXYZ~!@#$%^*(_+{}|:?`-=[]\;,./&amp;&lt;&gt;'"" )"))), LEN(G5)&lt;501)</formula>
    </cfRule>
  </conditionalFormatting>
  <conditionalFormatting sqref="G12:G311">
    <cfRule type="expression" dxfId="15" priority="50" stopIfTrue="1">
      <formula xml:space="preserve"> MATCH(G12, SPR_FIN, 0)</formula>
    </cfRule>
  </conditionalFormatting>
  <conditionalFormatting sqref="H12:H311">
    <cfRule type="expression" dxfId="14" priority="48" stopIfTrue="1">
      <formula>MATCH(H12,citizenship,0)</formula>
    </cfRule>
  </conditionalFormatting>
  <conditionalFormatting sqref="H5:I5">
    <cfRule type="expression" dxfId="13" priority="11" stopIfTrue="1">
      <formula>AND(ISNUMBER(H5),LEN(H5)=8,LEFT(H5,4)&gt;"1899", MID(H5,5,2)&lt;"13",RIGHT(H5,2)&lt;"32")</formula>
    </cfRule>
  </conditionalFormatting>
  <conditionalFormatting sqref="I12:I311">
    <cfRule type="expression" dxfId="12" priority="47" stopIfTrue="1">
      <formula>MATCH(I12,place_of_birth,0)</formula>
    </cfRule>
  </conditionalFormatting>
  <conditionalFormatting sqref="J5">
    <cfRule type="expression" dxfId="11" priority="16" stopIfTrue="1">
      <formula>AND(ISNUMBER(SUMPRODUCT(SEARCH(MID(J5,ROW(INDIRECT("1:"&amp;LEN(J5))),1),"0123456789abcdefghijklmnopqrstuvwxyzABCDEFGHIJKLMNOPQRSTUVWXYZ~!@#$%^*(_+{}|:?`-=[]\;,./&amp;&lt;&gt;'"" )"))), LEN(J5)&lt;81)</formula>
    </cfRule>
  </conditionalFormatting>
  <conditionalFormatting sqref="J12:J16">
    <cfRule type="expression" dxfId="10" priority="1" stopIfTrue="1">
      <formula>AND(ISNUMBER(J12),LEN(J12)=8,LEFT(J12,4)&gt;"1899", MID(J12,5,2)&lt;"13", RIGHT(J12,2)&lt;"32")</formula>
    </cfRule>
  </conditionalFormatting>
  <conditionalFormatting sqref="J17:J19">
    <cfRule type="expression" dxfId="9" priority="9" stopIfTrue="1">
      <formula>MATCH(J17,place_of_birth,0)</formula>
    </cfRule>
  </conditionalFormatting>
  <conditionalFormatting sqref="J20:J311">
    <cfRule type="expression" dxfId="8" priority="23" stopIfTrue="1">
      <formula>AND(ISNUMBER(J20),LEN(J20)=8,LEFT(J20,4)&gt;"1899", MID(J20,5,2)&lt;"13", RIGHT(J20,2)&lt;"32")</formula>
    </cfRule>
  </conditionalFormatting>
  <conditionalFormatting sqref="K5">
    <cfRule type="expression" dxfId="7" priority="15" stopIfTrue="1">
      <formula>AND(ISNUMBER(SUMPRODUCT(SEARCH(MID(K5,ROW(INDIRECT("1:"&amp;LEN(K5))),1),"0123456789abcdefghijklmnopqrstuvwxyzABCDEFGHIJKLMNOPQRSTUVWXYZ~!@#$%^*(_+{}|:?`-=[]\;,./&amp;&lt;&gt;'"" )"))), LEN(K5)&lt;41)</formula>
    </cfRule>
  </conditionalFormatting>
  <conditionalFormatting sqref="K12:K311">
    <cfRule type="expression" dxfId="6" priority="49" stopIfTrue="1">
      <formula>MATCH(K12,gender,0)</formula>
    </cfRule>
  </conditionalFormatting>
  <conditionalFormatting sqref="L5">
    <cfRule type="expression" dxfId="5" priority="14" stopIfTrue="1">
      <formula>AND(LEN(L5)&gt;3, LEN(L5)&lt;9)</formula>
    </cfRule>
  </conditionalFormatting>
  <conditionalFormatting sqref="L12:L311">
    <cfRule type="expression" dxfId="4" priority="42" stopIfTrue="1">
      <formula>AND(ISNUMBER(SUMPRODUCT(SEARCH(MID(L12,ROW(INDIRECT("1:"&amp;LEN(L12))),1),"0123456789abcdefghijklmnopqrstuvwxyzABCDEFGHIJKLMNOPQRSTUVWXYZ~!@#$%^*(_+{}|:?`-=[]\;,./&amp;&lt;&gt;'"" )"))), LEN(L12)&lt;51)</formula>
    </cfRule>
  </conditionalFormatting>
  <conditionalFormatting sqref="M5">
    <cfRule type="expression" dxfId="3" priority="13" stopIfTrue="1">
      <formula>AND(ISNUMBER(SUMPRODUCT(SEARCH(MID(M5,ROW(INDIRECT("1:"&amp;LEN(M5))),1),"0123456789abcdefghijklmnopqrstuvwxyzABCDEFGHIJKLMNOPQRSTUVWXYZ~!@#$%^*(_+{}|:?`-=[]\;,./&amp;&lt;&gt;'"" )"))), LEN(M5)&lt;101)</formula>
    </cfRule>
  </conditionalFormatting>
  <conditionalFormatting sqref="M12:O311">
    <cfRule type="expression" dxfId="2" priority="39" stopIfTrue="1">
      <formula>AND(ISNUMBER(SUMPRODUCT(SEARCH(MID(M12,ROW(INDIRECT("1:"&amp;LEN(M12))),1),"0123456789abcdefghijklmnopqrstuvwxyzABCDEFGHIJKLMNOPQRSTUVWXYZ~!@#$%^*(_+{}|:?`-=[]\;,./&amp;&lt;&gt;'"" )"))), LEN(M12)&lt;101)</formula>
    </cfRule>
  </conditionalFormatting>
  <conditionalFormatting sqref="N5">
    <cfRule type="expression" dxfId="1" priority="12" stopIfTrue="1">
      <formula xml:space="preserve"> AND(N5&gt;0, N5&lt;301)</formula>
    </cfRule>
  </conditionalFormatting>
  <conditionalFormatting sqref="P12:P311">
    <cfRule type="expression" dxfId="0" priority="38" stopIfTrue="1">
      <formula>AND(ISNUMBER(SUMPRODUCT(SEARCH(MID(P12,ROW(INDIRECT("1:"&amp;LEN(P12))),1),"0123456789abcdefghijklmnopqrstuvwxyzABCDEFGHIJKLMNOPQRSTUVWXYZ~!@#$%^*(_+{}|:?`-=[]\;,./&amp;&lt;&gt;'"" )"))), LEN(P12)&lt;201)</formula>
    </cfRule>
  </conditionalFormatting>
  <dataValidations xWindow="828" yWindow="816" count="55">
    <dataValidation type="textLength" operator="lessThanOrEqual" allowBlank="1" showInputMessage="1" showErrorMessage="1" errorTitle="Length Limitation" error="No more than 200 Characters" promptTitle="Length Limitation" prompt="No more than 200 Characters" sqref="P350" xr:uid="{00000000-0002-0000-0000-000000000000}">
      <formula1>200</formula1>
    </dataValidation>
    <dataValidation type="textLength" operator="lessThanOrEqual" allowBlank="1" showInputMessage="1" showErrorMessage="1" errorTitle="Length Limitation" error="No more than 50 Characters" promptTitle="Length Limitation" prompt="No more than 50 Characters" sqref="L350" xr:uid="{00000000-0002-0000-0000-000001000000}">
      <formula1>50</formula1>
    </dataValidation>
    <dataValidation type="textLength" operator="lessThanOrEqual" allowBlank="1" showInputMessage="1" showErrorMessage="1" errorTitle="Length" error="No more than 1 Character" promptTitle="Length Validation" prompt="No more than 1 Character" sqref="G350" xr:uid="{00000000-0002-0000-0000-000002000000}">
      <formula1>1</formula1>
    </dataValidation>
    <dataValidation type="textLength" operator="lessThanOrEqual" allowBlank="1" showInputMessage="1" showErrorMessage="1" errorTitle="Length Limitation" error="No more than 1 Character" promptTitle="Length Limitation" prompt="No more than 1 Character" sqref="F350 K350" xr:uid="{00000000-0002-0000-0000-000003000000}">
      <formula1>1</formula1>
    </dataValidation>
    <dataValidation type="textLength" operator="lessThanOrEqual" allowBlank="1" showInputMessage="1" showErrorMessage="1" errorTitle="Length Limitation" error="No more than 30 Characters" promptTitle="Length Limitation" prompt="No more than 30 Characters" sqref="C350" xr:uid="{00000000-0002-0000-0000-000004000000}">
      <formula1>30</formula1>
    </dataValidation>
    <dataValidation type="textLength" operator="lessThanOrEqual" showInputMessage="1" showErrorMessage="1" errorTitle="Length Limitation" error="No more than 9 characters" promptTitle="Length Limitation " prompt="No more than 9 Characters" sqref="B350" xr:uid="{00000000-0002-0000-0000-000005000000}">
      <formula1>9</formula1>
    </dataValidation>
    <dataValidation type="textLength" operator="equal" allowBlank="1" showInputMessage="1" showErrorMessage="1" errorTitle="Invalid Requestor Code" error="Please input the 2 character Division/Department/Requestor Code issued by Vetting Authority." promptTitle="Requestor Code" prompt="_x000a_2 character Requestor code issued by Vetting Authority." sqref="D5" xr:uid="{00000000-0002-0000-0000-000006000000}">
      <formula1>2</formula1>
    </dataValidation>
    <dataValidation type="textLength" operator="lessThanOrEqual" allowBlank="1" showInputMessage="1" showErrorMessage="1" errorTitle="Length Limitation" error="No more than 3 Characters" promptTitle="Length Limitation" prompt="No more than 3 Characters" sqref="A12:A340 A351" xr:uid="{00000000-0002-0000-0000-000007000000}">
      <formula1>3</formula1>
    </dataValidation>
    <dataValidation type="textLength" operator="lessThanOrEqual" allowBlank="1" showInputMessage="1" showErrorMessage="1" errorTitle="Length Limitation" error="No more than 100 Characters" promptTitle="Length Limitation" prompt="No more than 100 Characters" sqref="M350:O350" xr:uid="{00000000-0002-0000-0000-000008000000}">
      <formula1>100</formula1>
    </dataValidation>
    <dataValidation type="textLength" operator="lessThanOrEqual" allowBlank="1" showInputMessage="1" showErrorMessage="1" errorTitle="Length Limitation" error="No more than 8 Characters" promptTitle="Length Limitation" prompt="No more than 8 Characters" sqref="J350" xr:uid="{00000000-0002-0000-0000-000009000000}">
      <formula1>8</formula1>
    </dataValidation>
    <dataValidation type="textLength" operator="lessThanOrEqual" allowBlank="1" showInputMessage="1" showErrorMessage="1" errorTitle="Length Limitation" error="No more than 80 Characters" promptTitle="Length Limitation" prompt="No more than 80 Characters" sqref="D350:E350" xr:uid="{00000000-0002-0000-0000-00000A000000}">
      <formula1>80</formula1>
    </dataValidation>
    <dataValidation type="custom" operator="lessThanOrEqual" allowBlank="1" showInputMessage="1" showErrorMessage="1" errorTitle="Invalid Number of Records" error="Please input the number of subject records to be submitted (From 1 to 300)." promptTitle="Number of Records" prompt="_x000a_Declare the number of records/subjects submitted for this request. The number declared in this cell shall matched the number of subject entry row. _x000a__x000a_Acceptable range is from 1 to 300." sqref="N5" xr:uid="{00000000-0002-0000-0000-00000B000000}">
      <formula1 xml:space="preserve"> AND(N5&gt;0, N5&lt;301)</formula1>
    </dataValidation>
    <dataValidation type="textLength" operator="equal" allowBlank="1" showInputMessage="1" showErrorMessage="1" errorTitle="Invalid Screening Request Type" error="Please input the 2 character Screening Request Type Code issued by Vetting Authority." promptTitle="Screening Request Type" prompt="_x000a_2 character Screening Request Type code issued by Vetting Authority." sqref="B5" xr:uid="{00000000-0002-0000-0000-00000C000000}">
      <formula1>2</formula1>
    </dataValidation>
    <dataValidation type="textLength" operator="equal" allowBlank="1" showInputMessage="1" showErrorMessage="1" errorTitle="Invalid Agency Code" error="Please input the 3 character Agency code issued by Vetting authority." promptTitle="Agency Code" prompt="_x000a_3 character Agency code issued by Vetting Authority." sqref="C5" xr:uid="{00000000-0002-0000-0000-00000D000000}">
      <formula1>3</formula1>
    </dataValidation>
    <dataValidation type="custom" operator="lessThanOrEqual" allowBlank="1" showInputMessage="1" showErrorMessage="1" errorTitle="Invalid Screening Justification" error="Please ensure  the following_x000a__x000a_*Number of characters does not exceed 500_x000a__x000a_*Only input characters that are allowed (refer to instructions for full list of allowed characters." promptTitle="Screening Request Justification" prompt="_x000a_Justification for the screening request._x000a__x000a_This field is limited to 500 characters." sqref="G5" xr:uid="{00000000-0002-0000-0000-00000E000000}">
      <formula1>AND(ISNUMBER(SUMPRODUCT(SEARCH(MID(G5,ROW(INDIRECT("1:"&amp;LEN(G5))),1),"0123456789abcdefghijklmnopqrstuvwxyzABCDEFGHIJKLMNOPQRSTUVWXYZ~!@#$%^*(_+{}|:?`-=[]\;,./&amp;&lt;&gt;'"" )"))), LEN(G5)&lt;501)</formula1>
    </dataValidation>
    <dataValidation type="custom" operator="lessThanOrEqual" allowBlank="1" showInputMessage="1" showErrorMessage="1" errorTitle="Invalid Requestor Designation" error="Please ensure  the following_x000a__x000a_*Number of characters does not exceed 40_x000a__x000a_*Only input characters that are allowed (refer to instructions for full list of allowed characters." promptTitle="Requesting Officer Designation" prompt="_x000a_Designation/appointment of the screening requestor._x000a__x000a_This field is limited to 40 Characters" sqref="K5" xr:uid="{00000000-0002-0000-0000-00000F000000}">
      <formula1>AND(ISNUMBER(SUMPRODUCT(SEARCH(MID(K5,ROW(INDIRECT("1:"&amp;LEN(K5))),1),"0123456789abcdefghijklmnopqrstuvwxyzABCDEFGHIJKLMNOPQRSTUVWXYZ~!@#$%^*(_+{}|:?`-=[]\;,./&amp;&lt;&gt;'"" )"))), LEN(K5)&lt;41)</formula1>
    </dataValidation>
    <dataValidation type="custom" allowBlank="1" showInputMessage="1" showErrorMessage="1" errorTitle="Invalid End Date" error="Please ensure date provided is in YYYYMMDD format. _x000a__x000a_e.g. if date is 1 Feb 1980, YYYYMMDD = 19800201" promptTitle="Start Date" prompt="_x000a_Event start date in YYYYMMDD format" sqref="I5" xr:uid="{00000000-0002-0000-0000-000010000000}">
      <formula1>AND(ISNUMBER(I5),LEN(I5)=8,LEFT(I5,4)&gt;"1899", MID(I5,5,2)&lt;"13",RIGHT(I5,2)&lt;"32")</formula1>
    </dataValidation>
    <dataValidation type="custom" allowBlank="1" showInputMessage="1" showErrorMessage="1" errorTitle="Invalid Date of Request" error="Please ensure date provided is in YYYYMMDD format. _x000a__x000a_e.g. if date is 1 Feb 1980, YYYYMMDD = 19800201" promptTitle="Date of Screening Request" prompt="_x000a_Date of the screening request in YYYYMMDD format." sqref="E5" xr:uid="{00000000-0002-0000-0000-000011000000}">
      <formula1>AND(ISNUMBER(E5),LEN(E5)=8,LEFT(E5,4)&gt;"1899", MID(E5,5,2)&lt;"13",RIGHT(E5,2)&lt;"32")</formula1>
    </dataValidation>
    <dataValidation type="custom" operator="lessThanOrEqual" allowBlank="1" showInputMessage="1" showErrorMessage="1" errorTitle="Invalid Event Name" error="Please ensure  the following_x000a__x000a_*Number of characters does not exceed 100_x000a__x000a_*Only input characters that are allowed (refer to instructions for full list of allowed characters." promptTitle="Name/Description of Event " prompt="_x000a_Name or description of the event e.g. &quot;Access to MHA building&quot;_x000a__x000a_This field is limited to 100 characters." sqref="F5" xr:uid="{00000000-0002-0000-0000-000012000000}">
      <formula1>AND(ISNUMBER(SUMPRODUCT(SEARCH(MID(F5,ROW(INDIRECT("1:"&amp;LEN(F5))),1),"0123456789abcdefghijklmnopqrstuvwxyzABCDEFGHIJKLMNOPQRSTUVWXYZ~!@#$%^*(_+{}|:?`-=[]\;,./&amp;&lt;&gt;'"" )"))), LEN(F5)&lt;101)</formula1>
    </dataValidation>
    <dataValidation type="custom" operator="lessThanOrEqual" allowBlank="1" showInputMessage="1" showErrorMessage="1" errorTitle="Invalid Requestor Name" error="Please ensure  the following_x000a__x000a_*Number of characters does not exceed 80_x000a__x000a_*Only input characters that are allowed (refer to instructions for full list of allowed characters." promptTitle="Requesting officer" prompt="_x000a_Name (in full) of the screening requestor._x000a__x000a_This field is limited to 80 characters." sqref="J5" xr:uid="{00000000-0002-0000-0000-000013000000}">
      <formula1>AND(ISNUMBER(SUMPRODUCT(SEARCH(MID(J5,ROW(INDIRECT("1:"&amp;LEN(J5))),1),"0123456789abcdefghijklmnopqrstuvwxyzABCDEFGHIJKLMNOPQRSTUVWXYZ~!@#$%^*(_+{}|:?`-=[]\;,./&amp;&lt;&gt;'"" )"))), LEN(J5)&lt;81)</formula1>
    </dataValidation>
    <dataValidation type="custom" operator="lessThanOrEqual" allowBlank="1" showInputMessage="1" showErrorMessage="1" errorTitle="Invalid Requestor Contact Number" error="Please input a valid Requestor Contact Number." promptTitle="Contact number" prompt="_x000a_Contact number of the screening requestor._x000a__x000a_This field is limited to 8 Characters" sqref="L5" xr:uid="{00000000-0002-0000-0000-000014000000}">
      <formula1>AND(LEN(L5)&gt;3, LEN(L5)&lt;9)</formula1>
    </dataValidation>
    <dataValidation type="custom" operator="lessThanOrEqual" allowBlank="1" showInputMessage="1" showErrorMessage="1" errorTitle="Invalid Requestor Email Address" error="Please ensure  the following_x000a__x000a_*Number of characters does not exceed 100_x000a__x000a_*Only input characters that are allowed (refer to instructions for full list of allowed characters." promptTitle="Email address" prompt="_x000a_Email address of the screening requestor._x000a__x000a_This field is limited to 100 characters." sqref="M5" xr:uid="{00000000-0002-0000-0000-000015000000}">
      <formula1>AND(ISNUMBER(SUMPRODUCT(SEARCH(MID(M5,ROW(INDIRECT("1:"&amp;LEN(M5))),1),"0123456789abcdefghijklmnopqrstuvwxyzABCDEFGHIJKLMNOPQRSTUVWXYZ~!@#$%^*(_+{}|:?`-=[]\;,./&amp;&lt;&gt;'"" )"))), LEN(M5)&lt;101)</formula1>
    </dataValidation>
    <dataValidation type="custom" allowBlank="1" showInputMessage="1" showErrorMessage="1" errorTitle="Invalid date" error="Please ensure date provided is in YYYYMMDD format. _x000a__x000a_e.g. if date is 1 Feb 1980, YYYYMMDD = 19800201" promptTitle="Date of Birth" prompt="_x000a_Applicant's Date of birth in YYYYMMDD format." sqref="J312:J340" xr:uid="{00000000-0002-0000-0000-000016000000}">
      <formula1>AND(LEN(J312)=8,LEFT(J312,4)&gt;"1899", MID(J312,5,2)&lt;"13", RIGHT(J312,2)&lt;"32")</formula1>
    </dataValidation>
    <dataValidation type="list" operator="lessThanOrEqual" allowBlank="1" showInputMessage="1" showErrorMessage="1" errorTitle="Invalid Citizenship" error="Please ensure citizenship is from drop down menu." promptTitle="Applicant's Citizenship" prompt="_x000a_Use only Citizenship values from drop down list" sqref="H12:H340" xr:uid="{00000000-0002-0000-0000-000017000000}">
      <formula1>$A$594:$A$822</formula1>
    </dataValidation>
    <dataValidation type="list" operator="lessThanOrEqual" allowBlank="1" showInputMessage="1" showErrorMessage="1" errorTitle="Place of Birth" error="Please ensure Place of Birth is from drop down menu." promptTitle="Applicant's Place of Birth" prompt="_x000a_Use only Country values from drop down list" sqref="I12:I340" xr:uid="{00000000-0002-0000-0000-000018000000}">
      <formula1>$A$344:$A$591</formula1>
    </dataValidation>
    <dataValidation type="custom" operator="lessThanOrEqual" allowBlank="1" showInputMessage="1" showErrorMessage="1" errorTitle="Validation failed" error="Please ensure  the following_x000a__x000a_*Number of characters does not exceed 80_x000a__x000a_*Only input characters that are allowed (refer to instructions for full list of allowed characters." promptTitle="Applicant's Name" prompt="_x000a_Applicant name (in full)._x000a__x000a_This field is limited to 80 characters." sqref="D312:D340" xr:uid="{00000000-0002-0000-0000-000019000000}">
      <formula1>AND(ISNUMBER(SUMPRODUCT(SEARCH(MID(D312,ROW(INDIRECT("1:"&amp;LEN(D312))),1),"0123456789abcdefghijklmnopqrstuvwxyzABCDEFGHIJKLMNOPQRSTUVWXYZ~!@#$%^*(_+{}|:?`-=[]\;,./ )"))), LEN(D312)&lt;81)</formula1>
    </dataValidation>
    <dataValidation type="custom" operator="lessThanOrEqual" allowBlank="1" showInputMessage="1" showErrorMessage="1" errorTitle="Validation failed" error="Please ensure  the following_x000a__x000a_*Number of characters does not exceed 80_x000a__x000a_*Only input characters that are allowed (refer to instructions for full list of allowed characters." promptTitle="Applicant's Alias" prompt="_x000a_Applicant alias (if applicable)._x000a__x000a_This field is limited to 80 characters." sqref="E312:E340" xr:uid="{00000000-0002-0000-0000-00001A000000}">
      <formula1>AND(ISNUMBER(SUMPRODUCT(SEARCH(MID(E312,ROW(INDIRECT("1:"&amp;LEN(E312))),1),"0123456789abcdefghijklmnopqrstuvwxyzABCDEFGHIJKLMNOPQRSTUVWXYZ~!@#$%^*(_+{}|:?`-=[]\;,./) "))), LEN(E312)&lt;81)</formula1>
    </dataValidation>
    <dataValidation type="custom" operator="lessThanOrEqual" allowBlank="1" showInputMessage="1" showErrorMessage="1" errorTitle="Validation failed" error="Please ensure  the following_x000a__x000a_*Number of characters does not exceed 50_x000a__x000a_*Only input characters that are allowed (refer to instructions for full list of allowed characters." promptTitle="Applicant's Religion" prompt="_x000a_This field is limited to 50 characters." sqref="L312:L340" xr:uid="{00000000-0002-0000-0000-00001B000000}">
      <formula1>AND(ISNUMBER(SUMPRODUCT(SEARCH(MID(L312,ROW(INDIRECT("1:"&amp;LEN(L312))),1),"0123456789abcdefghijklmnopqrstuvwxyzABCDEFGHIJKLMNOPQRSTUVWXYZ~!@#$%^*(_+{}|:?`-=[]\;,./ )"))), LEN(L312)&lt;51)</formula1>
    </dataValidation>
    <dataValidation type="custom" operator="lessThanOrEqual" allowBlank="1" showInputMessage="1" showErrorMessage="1" errorTitle="Validation failed" error="Please ensure  the following_x000a__x000a_*Number of characters does not exceed 100_x000a__x000a_*Only input characters that are allowed (refer to instructions for full list of allowed characters." promptTitle="Applicant's Employer name" prompt="_x000a_This field is limited to 100 characters." sqref="M312:M340" xr:uid="{00000000-0002-0000-0000-00001C000000}">
      <formula1>AND(ISNUMBER(SUMPRODUCT(SEARCH(MID(M312,ROW(INDIRECT("1:"&amp;LEN(M312))),1),"0123456789abcdefghijklmnopqrstuvwxyzABCDEFGHIJKLMNOPQRSTUVWXYZ~!@#$%^*(_+{}|:?`-=[]\;,./ )"))), LEN(M312)&lt;101)</formula1>
    </dataValidation>
    <dataValidation type="custom" operator="lessThanOrEqual" allowBlank="1" showInputMessage="1" showErrorMessage="1" errorTitle="Validation failed" error="Please ensure  the following_x000a__x000a_*Number of characters does not exceed 100_x000a__x000a_*Only input characters that are allowed (refer to instructions for full list of allowed characters." promptTitle="Applicant's Department" prompt="_x000a_This field is limited to 100 characters" sqref="N312:N340" xr:uid="{00000000-0002-0000-0000-00001D000000}">
      <formula1>AND(ISNUMBER(SUMPRODUCT(SEARCH(MID(N312,ROW(INDIRECT("1:"&amp;LEN(N312))),1),"0123456789abcdefghijklmnopqrstuvwxyzABCDEFGHIJKLMNOPQRSTUVWXYZ~!@#$%^*(_+{}|:?`-=[]\;,./ )"))), LEN(N312)&lt;101)</formula1>
    </dataValidation>
    <dataValidation type="custom" operator="lessThanOrEqual" allowBlank="1" showInputMessage="1" showErrorMessage="1" errorTitle="Validation failed" error="Please ensure  the following_x000a__x000a_*Number of characters does not exceed 100_x000a__x000a_*Only input characters that are allowed (refer to instructions for full list of allowed characters." promptTitle="Applicant's Job Designation" prompt="_x000a_This field is limited to 100 characters." sqref="O312:O340" xr:uid="{00000000-0002-0000-0000-00001E000000}">
      <formula1>AND(ISNUMBER(SUMPRODUCT(SEARCH(MID(O312,ROW(INDIRECT("1:"&amp;LEN(O312))),1),"0123456789abcdefghijklmnopqrstuvwxyzABCDEFGHIJKLMNOPQRSTUVWXYZ~!@#$%^*(_+{}|:?`-=[]\;,./ )"))), LEN(O312)&lt;101)</formula1>
    </dataValidation>
    <dataValidation type="custom" operator="lessThanOrEqual" allowBlank="1" showInputMessage="1" showErrorMessage="1" errorTitle="Validation failed" error="Please ensure  the following_x000a__x000a_*Number of characters does not exceed 200_x000a__x000a_*Only input characters that are allowed (refer to instructions for full list of allowed characters." promptTitle="Remarks/Additional Information" prompt="_x000a_Provide any additional information on the applicant._x000a__x000a_This field is limited to 200 characters._x000a_" sqref="P312:P340" xr:uid="{00000000-0002-0000-0000-00001F000000}">
      <formula1>AND(ISNUMBER(SUMPRODUCT(SEARCH(MID(P312,ROW(INDIRECT("1:"&amp;LEN(P312))),1),"0123456789abcdefghijklmnopqrstuvwxyzABCDEFGHIJKLMNOPQRSTUVWXYZ~!@#$%^*(_+{}|:?`-=[]\;,./) "))), LEN(P312)&lt;201)</formula1>
    </dataValidation>
    <dataValidation type="custom" operator="lessThanOrEqual" allowBlank="1" showInputMessage="1" showErrorMessage="1" errorTitle="Validation Failed" error="Please ensure  the following_x000a__x000a_*Number of characters does not exceed 30_x000a__x000a_*Only input characters that are allowed (refer to instructions for full list of allowed characters." promptTitle="OTHER ID " prompt="_x000a__x000a_Other ID is required if subject is not a NRIC/FIN holder._x000a__x000a_Please provide additional information of the Other ID field in the &quot;Remarks&quot; Field (e.g. &quot;Malaysian IC&quot;)._x000a__x000a_This field is limited to 30 characters._x000a__x000a_Leave this field blank if not applicable." sqref="C312:C340" xr:uid="{00000000-0002-0000-0000-000020000000}">
      <formula1>AND(ISNUMBER(SUMPRODUCT(SEARCH(MID(D312,ROW(INDIRECT("1:"&amp;LEN(D312))),1),"0123456789abcdefghijklmnopqrstuvwxyzABCDEFGHIJKLMNOPQRSTUVWXYZ~!@#$%^*(_+{}|:?`-=[]\;,./ )"))), LEN(D312)&lt;31)</formula1>
    </dataValidation>
    <dataValidation type="textLength" operator="lessThanOrEqual" allowBlank="1" showInputMessage="1" showErrorMessage="1" errorTitle="Length Limitation" error="No more than 40 Characters" promptTitle="Length Limitation" prompt="No more than 40 Characters" sqref="H350:I350" xr:uid="{00000000-0002-0000-0000-000021000000}">
      <formula1>40</formula1>
    </dataValidation>
    <dataValidation type="list" operator="lessThanOrEqual" allowBlank="1" showInputMessage="1" showErrorMessage="1" errorTitle="Invalid SPR indicator value" error="Please ensure SPR value is from drop down menu." promptTitle="SPR indicator" prompt="_x000a_Drop down values_x000a_Y  - Yes_x000a_N - No_x000a__x000a_*Please provide NRIC number in NRIC/FIN field if declared as Yes." sqref="F312:F340" xr:uid="{00000000-0002-0000-0000-000022000000}">
      <formula1>$A$1154:$A$1155</formula1>
    </dataValidation>
    <dataValidation type="list" operator="lessThanOrEqual" allowBlank="1" showInputMessage="1" showErrorMessage="1" errorTitle="Invalid Fin holder indicator" error="Please ensure Fin holder indicator is from drop down menu." promptTitle="FIN holder indicator" prompt="_x000a_Drop down values_x000a_Y  - Yes_x000a_N - No_x000a__x000a_*Please provide FIN number in NRIC/FIN field if declared as Yes." sqref="G312:G340" xr:uid="{00000000-0002-0000-0000-000023000000}">
      <formula1>$A$1154:$A$1155</formula1>
    </dataValidation>
    <dataValidation type="list" operator="lessThanOrEqual" allowBlank="1" showInputMessage="1" showErrorMessage="1" errorTitle="Invalid Gender" error="Please ensure Gender is from drop down menu." promptTitle="Applicant's Gender" prompt="_x000a_Drop down values_x000a__x000a_M - Male_x000a_F   - Female" sqref="K12:K340" xr:uid="{00000000-0002-0000-0000-000024000000}">
      <formula1>$A$1158:$A$1159</formula1>
    </dataValidation>
    <dataValidation type="custom" operator="lessThanOrEqual" showInputMessage="1" showErrorMessage="1" errorTitle="Invalid ID" error="Please ensure ID is a valid NRIC/FIN" promptTitle="NRIC / FIN" prompt="_x000a_NRIC is required if Citizenship = &quot;Singapore Citizen&quot; or Singapore Permanent Resident = &quot;Y&quot;._x000a__x000a_FIN is required if FIN Holder = &quot;Y&quot;._x000a__x000a_If NRIC/FIN is not applicable, leave this field blank and provide other id under &quot;Other ID&quot; field." sqref="B340" xr:uid="{00000000-0002-0000-0000-000025000000}">
      <formula1>RIGHT(B340,1)=K1152</formula1>
    </dataValidation>
    <dataValidation type="custom" operator="lessThanOrEqual" showInputMessage="1" showErrorMessage="1" errorTitle="Invalid ID" error="Please ensure ID is a valid NRIC/FIN" promptTitle="NRIC / FIN" prompt="_x000a_NRIC is required if Citizenship = &quot;Singapore Citizen&quot; or Singapore Permanent Resident = &quot;Y&quot;._x000a__x000a_FIN is required if FIN Holder = &quot;Y&quot;._x000a__x000a_If NRIC/FIN is not applicable, leave this field blank and provide other id under &quot;Other ID&quot; field." sqref="B338:B339" xr:uid="{00000000-0002-0000-0000-000026000000}">
      <formula1>RIGHT(B338,1)=K1152</formula1>
    </dataValidation>
    <dataValidation type="custom" operator="lessThanOrEqual" showInputMessage="1" showErrorMessage="1" errorTitle="Invalid ID" error="Please ensure ID is a valid NRIC/FIN" promptTitle="NRIC / FIN" prompt="_x000a_NRIC is required if Citizenship = &quot;Singapore Citizen&quot; or Singapore Permanent Resident = &quot;Y&quot;._x000a__x000a_FIN is required if FIN Holder = &quot;Y&quot;._x000a__x000a_If NRIC/FIN is not applicable, leave this field blank and provide other id under &quot;Other ID&quot; field." sqref="B334:B337" xr:uid="{00000000-0002-0000-0000-000027000000}">
      <formula1>RIGHT(B334,1)=K1152</formula1>
    </dataValidation>
    <dataValidation type="custom" operator="lessThanOrEqual" showInputMessage="1" showErrorMessage="1" errorTitle="Invalid ID" error="Please ensure ID is a valid NRIC/FIN" promptTitle="NRIC / FIN" prompt="_x000a_NRIC is required if Citizenship = &quot;Singapore Citizen&quot; or Singapore Permanent Resident = &quot;Y&quot;._x000a__x000a_FIN is required if FIN Holder = &quot;Y&quot;._x000a__x000a_If NRIC/FIN is not applicable, leave this field blank and provide other id under &quot;Other ID&quot; field." sqref="B312:B325" xr:uid="{00000000-0002-0000-0000-000028000000}">
      <formula1>RIGHT(B312,1)=K1152</formula1>
    </dataValidation>
    <dataValidation type="custom" operator="lessThanOrEqual" showInputMessage="1" showErrorMessage="1" errorTitle="Invalid ID" error="Please ensure ID is a valid NRIC/FIN" promptTitle="NRIC / FIN" prompt="_x000a_NRIC is required if Citizenship = &quot;Singapore Citizen&quot; or Singapore Permanent Resident = &quot;Y&quot;._x000a__x000a_FIN is required if FIN Holder = &quot;Y&quot;._x000a__x000a_If NRIC/FIN is not applicable, leave this field blank and provide other id under &quot;Other ID&quot; field." sqref="B326:B333" xr:uid="{00000000-0002-0000-0000-000029000000}">
      <formula1>RIGHT(B326,1)=K1152</formula1>
    </dataValidation>
    <dataValidation type="custom" allowBlank="1" showInputMessage="1" showErrorMessage="1" errorTitle="Invalid Start Date" error="Please ensure date provided is in YYYYMMDD format. _x000a__x000a_e.g. if date is 1 Feb 1980, YYYYMMDD = 19800201" promptTitle="Start Date" prompt="_x000a_Event start date in YYYYMMDD format" sqref="H5" xr:uid="{00000000-0002-0000-0000-00002A000000}">
      <formula1>AND(ISNUMBER(H5),LEN(H5)=8,LEFT(H5,4)&gt;"1899", MID(H5,5,2)&lt;"13",RIGHT(H5,2)&lt;"32")</formula1>
    </dataValidation>
    <dataValidation type="list" operator="lessThanOrEqual" allowBlank="1" showInputMessage="1" showErrorMessage="1" errorTitle="Invalid FIN Holder indicator" error="Please ensure FIN Holder indicator is from drop down menu." promptTitle="FIN holder indicator" prompt="_x000a_Drop down values_x000a_Y  - Yes_x000a_N - No_x000a__x000a_*Please provide FIN number in NRIC/FIN field if declared as Yes." sqref="G12:G311" xr:uid="{00000000-0002-0000-0000-00002B000000}">
      <formula1>$A$1154:$A$1155</formula1>
    </dataValidation>
    <dataValidation type="list" operator="lessThanOrEqual" allowBlank="1" showInputMessage="1" showErrorMessage="1" errorTitle="Invalid SPR indicator value" error="Please ensure SPR indicator value is from drop down menu." promptTitle="SPR indicator" prompt="_x000a_Drop down values_x000a_Y  - Yes_x000a_N - No_x000a__x000a_*Please provide NRIC number in NRIC/FIN field if declared as Yes." sqref="F12:F311" xr:uid="{00000000-0002-0000-0000-00002C000000}">
      <formula1>$A$1154:$A$1155</formula1>
    </dataValidation>
    <dataValidation type="custom" allowBlank="1" showInputMessage="1" showErrorMessage="1" errorTitle="Invalid Date of Birth" error="Please ensure date provided is in YYYYMMDD format. _x000a__x000a_e.g. if date is 1 Feb 1980, YYYYMMDD = 19800201" promptTitle="Date of Birth" prompt="_x000a_Applicant's Date of birth in YYYYMMDD format." sqref="J12:J311" xr:uid="{00000000-0002-0000-0000-00002D000000}">
      <formula1>AND(ISNUMBER(J12),LEN(J12)=8,LEFT(J12,4)&gt;"1899", MID(J12,5,2)&lt;"13", RIGHT(J12,2)&lt;"32")</formula1>
    </dataValidation>
    <dataValidation type="custom" operator="lessThanOrEqual" allowBlank="1" showInputMessage="1" showErrorMessage="1" errorTitle="Invalid Other ID" error="Please ensure  the following_x000a__x000a_*Number of characters does not exceed 30_x000a__x000a_*Only input characters that are allowed (refer to instructions for full list of allowed characters." promptTitle="OTHER ID " prompt="_x000a__x000a_Other ID is required if subject is not a NRIC/FIN holder._x000a__x000a_Please provide additional information of the Other ID field in the &quot;Remarks&quot; Field (e.g. &quot;Malaysian IC&quot;)._x000a__x000a_This field is limited to 30 characters._x000a__x000a_Leave this field blank if not applicable." sqref="C12:C311" xr:uid="{00000000-0002-0000-0000-00002E000000}">
      <formula1>AND(ISNUMBER(SUMPRODUCT(SEARCH(MID(C12,ROW(INDIRECT("1:"&amp;LEN(C12))),1),"0123456789abcdefghijklmnopqrstuvwxyzABCDEFGHIJKLMNOPQRSTUVWXYZ~!@#$%^*(_+{}|:?`-=[]\;,./ )'&amp;&lt;""&gt;"))), LEN(C12)&lt;31)</formula1>
    </dataValidation>
    <dataValidation type="custom" operator="lessThanOrEqual" allowBlank="1" showInputMessage="1" showErrorMessage="1" errorTitle="Invalid Applicant Name" error="Please ensure  the following_x000a__x000a_*Number of characters does not exceed 80_x000a__x000a_*Only input characters that are allowed (refer to instructions for full list of allowed characters." promptTitle="Applicant's Name" prompt="_x000a_Applicant name (in full)._x000a__x000a_This field is limited to 80 characters." sqref="D12:D311" xr:uid="{00000000-0002-0000-0000-00002F000000}">
      <formula1>AND(ISNUMBER(SUMPRODUCT(SEARCH(MID(D12,ROW(INDIRECT("1:"&amp;LEN(D12))),1),"0123456789abcdefghijklmnopqrstuvwxyzABCDEFGHIJKLMNOPQRSTUVWXYZ~!@#$%^*(_+{}|:?`-=[]\;,./&amp;&lt;&gt;'"" )"))), LEN(D12)&lt;81)</formula1>
    </dataValidation>
    <dataValidation type="custom" operator="lessThanOrEqual" allowBlank="1" showInputMessage="1" showErrorMessage="1" errorTitle="Invalid Applicant Alias" error="Please ensure  the following_x000a__x000a_*Number of characters does not exceed 80_x000a__x000a_*Only input characters that are allowed (refer to instructions for full list of allowed characters." promptTitle="Applicant's Alias" prompt="_x000a_Applicant alias (if applicable)._x000a__x000a_This field is limited to 80 characters." sqref="E12:E311" xr:uid="{00000000-0002-0000-0000-000030000000}">
      <formula1>AND(ISNUMBER(SUMPRODUCT(SEARCH(MID(E12,ROW(INDIRECT("1:"&amp;LEN(E12))),1),"0123456789abcdefghijklmnopqrstuvwxyzABCDEFGHIJKLMNOPQRSTUVWXYZ~!@#$%^*(_+{}|:?`-=[]\;,./&amp;&lt;&gt;'"" )"))), LEN(E12)&lt;81)</formula1>
    </dataValidation>
    <dataValidation type="custom" operator="lessThanOrEqual" allowBlank="1" showInputMessage="1" showErrorMessage="1" errorTitle="Invalid Religion" error="Please ensure  the following_x000a__x000a_*Number of characters does not exceed 50_x000a__x000a_*Only input characters that are allowed (refer to instructions for full list of allowed characters." promptTitle="Applicant's Religion" prompt="_x000a_This field is limited to 50 characters." sqref="L12:L311" xr:uid="{00000000-0002-0000-0000-000031000000}">
      <formula1>AND(ISNUMBER(SUMPRODUCT(SEARCH(MID(L12,ROW(INDIRECT("1:"&amp;LEN(L12))),1),"0123456789abcdefghijklmnopqrstuvwxyzABCDEFGHIJKLMNOPQRSTUVWXYZ~!@#$%^*(_+{}|:?`-=[]\;,./&amp;&lt;&gt;'"" )"))), LEN(L12)&lt;51)</formula1>
    </dataValidation>
    <dataValidation type="custom" operator="lessThanOrEqual" allowBlank="1" showInputMessage="1" showErrorMessage="1" errorTitle="Invalid Employer Name" error="Please ensure  the following_x000a__x000a_*Number of characters does not exceed 100_x000a__x000a_*Only input characters that are allowed (refer to instructions for full list of allowed characters." promptTitle="Applicant's Employer name" prompt="_x000a_This field is limited to 100 characters." sqref="M12:M311" xr:uid="{00000000-0002-0000-0000-000032000000}">
      <formula1>AND(ISNUMBER(SUMPRODUCT(SEARCH(MID(M12,ROW(INDIRECT("1:"&amp;LEN(M12))),1),"0123456789abcdefghijklmnopqrstuvwxyzABCDEFGHIJKLMNOPQRSTUVWXYZ~!@#$%^*(_+{}|:?`-=[]\;,./&amp;&lt;&gt;'"" )"))), LEN(M12)&lt;101)</formula1>
    </dataValidation>
    <dataValidation type="custom" operator="lessThanOrEqual" allowBlank="1" showInputMessage="1" showErrorMessage="1" errorTitle="Invalid Department" error="Please ensure  the following_x000a__x000a_*Number of characters does not exceed 100_x000a__x000a_*Only input characters that are allowed (refer to instructions for full list of allowed characters." promptTitle="Applicant's Department" prompt="_x000a_This field is limited to 100 characters" sqref="N12:N311" xr:uid="{00000000-0002-0000-0000-000033000000}">
      <formula1>AND(ISNUMBER(SUMPRODUCT(SEARCH(MID(N12,ROW(INDIRECT("1:"&amp;LEN(N12))),1),"0123456789abcdefghijklmnopqrstuvwxyzABCDEFGHIJKLMNOPQRSTUVWXYZ~!@#$%^*(_+{}|:?`-=[]\;,./&amp;&lt;&gt;'"" )"))), LEN(N12)&lt;101)</formula1>
    </dataValidation>
    <dataValidation type="custom" operator="lessThanOrEqual" allowBlank="1" showInputMessage="1" showErrorMessage="1" errorTitle="Invalid Job Designation" error="Please ensure  the following_x000a__x000a_*Number of characters does not exceed 100_x000a__x000a_*Only input characters that are allowed (refer to instructions for full list of allowed characters." promptTitle="Applicant's Job Designation" prompt="_x000a_This field is limited to 100 characters." sqref="O12:O311" xr:uid="{00000000-0002-0000-0000-000034000000}">
      <formula1>AND(ISNUMBER(SUMPRODUCT(SEARCH(MID(O12,ROW(INDIRECT("1:"&amp;LEN(O12))),1),"0123456789abcdefghijklmnopqrstuvwxyzABCDEFGHIJKLMNOPQRSTUVWXYZ~!@#$%^*(_+{}|:?`-=[]\;,./&amp;&lt;&gt;'"" )"))), LEN(O12)&lt;101)</formula1>
    </dataValidation>
    <dataValidation type="custom" operator="lessThanOrEqual" allowBlank="1" showInputMessage="1" showErrorMessage="1" errorTitle="Invalid Remarks" error="Please ensure  the following_x000a__x000a_*Number of characters does not exceed 200_x000a__x000a_*Only input characters that are allowed (refer to instructions for full list of allowed characters." promptTitle="Remarks/Additional Information" prompt="_x000a_Provide any additional information on the applicant._x000a__x000a_This field is limited to 200 characters._x000a_" sqref="P12:P311" xr:uid="{00000000-0002-0000-0000-000035000000}">
      <formula1>AND(ISNUMBER(SUMPRODUCT(SEARCH(MID(P12,ROW(INDIRECT("1:"&amp;LEN(P12))),1),"0123456789abcdefghijklmnopqrstuvwxyzABCDEFGHIJKLMNOPQRSTUVWXYZ~!@#$%^*(_+{}|:?`-=[]\;,./&amp;&lt;&gt;'"" )"))), LEN(P12)&lt;201)</formula1>
    </dataValidation>
    <dataValidation type="custom" operator="lessThanOrEqual" allowBlank="1" showInputMessage="1" showErrorMessage="1" errorTitle="Invalid NRIC/FIN number" error="Please ensure ID is a valid NRIC/FIN" promptTitle="NRIC / FIN" prompt="_x000a_NRIC is required if Citizenship = &quot;Singapore Citizen&quot; or Singapore Permanent Resident = &quot;Y&quot;._x000a__x000a_FIN is required if FIN Holder = &quot;Y&quot;._x000a__x000a_If NRIC/FIN is not applicable, leave this field blank and provide other id under &quot;Other ID&quot; field." sqref="B12:B311" xr:uid="{00000000-0002-0000-0000-000036000000}">
      <formula1>AND(LEN(B12)=9,RIGHT(B12,1)=K852)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51"/>
  <sheetViews>
    <sheetView topLeftCell="A41" workbookViewId="0">
      <selection activeCell="D3" sqref="D3"/>
    </sheetView>
  </sheetViews>
  <sheetFormatPr defaultColWidth="9.28515625" defaultRowHeight="15" x14ac:dyDescent="0.25"/>
  <cols>
    <col min="1" max="1" width="7.5703125" style="2" bestFit="1" customWidth="1"/>
    <col min="2" max="2" width="35.28515625" style="15" customWidth="1"/>
    <col min="3" max="3" width="7" style="16" customWidth="1"/>
    <col min="4" max="4" width="9.28515625" style="17"/>
    <col min="5" max="6" width="33.28515625" style="15" bestFit="1" customWidth="1"/>
    <col min="7" max="7" width="9.28515625" style="15"/>
    <col min="8" max="8" width="40.7109375" style="15" bestFit="1" customWidth="1"/>
    <col min="9" max="16384" width="9.28515625" style="17"/>
  </cols>
  <sheetData>
    <row r="1" spans="1:8" ht="15.75" thickBot="1" x14ac:dyDescent="0.3"/>
    <row r="2" spans="1:8" ht="15.75" thickBot="1" x14ac:dyDescent="0.3">
      <c r="A2" s="40" t="s">
        <v>687</v>
      </c>
      <c r="B2" s="41"/>
      <c r="C2" s="42"/>
      <c r="E2" s="43" t="s">
        <v>688</v>
      </c>
      <c r="F2" s="44"/>
      <c r="G2" s="44"/>
      <c r="H2" s="45"/>
    </row>
    <row r="3" spans="1:8" ht="30" x14ac:dyDescent="0.25">
      <c r="A3" s="18" t="s">
        <v>507</v>
      </c>
      <c r="B3" s="19" t="s">
        <v>508</v>
      </c>
      <c r="C3" s="20" t="s">
        <v>509</v>
      </c>
      <c r="E3" s="21" t="s">
        <v>42</v>
      </c>
      <c r="F3" s="21" t="s">
        <v>41</v>
      </c>
      <c r="G3" s="22"/>
      <c r="H3" s="21" t="s">
        <v>686</v>
      </c>
    </row>
    <row r="4" spans="1:8" x14ac:dyDescent="0.25">
      <c r="A4" s="23" t="s">
        <v>677</v>
      </c>
      <c r="B4" s="24" t="s">
        <v>510</v>
      </c>
      <c r="C4" s="25">
        <v>32</v>
      </c>
      <c r="E4" s="26" t="s">
        <v>51</v>
      </c>
      <c r="F4" s="26" t="s">
        <v>299</v>
      </c>
      <c r="G4" s="27"/>
      <c r="H4" s="26" t="s">
        <v>488</v>
      </c>
    </row>
    <row r="5" spans="1:8" x14ac:dyDescent="0.25">
      <c r="A5" s="23" t="s">
        <v>511</v>
      </c>
      <c r="B5" s="24" t="s">
        <v>512</v>
      </c>
      <c r="C5" s="25">
        <v>33</v>
      </c>
      <c r="E5" s="26" t="s">
        <v>52</v>
      </c>
      <c r="F5" s="26" t="s">
        <v>300</v>
      </c>
      <c r="G5" s="27"/>
      <c r="H5" s="26" t="s">
        <v>489</v>
      </c>
    </row>
    <row r="6" spans="1:8" x14ac:dyDescent="0.25">
      <c r="A6" s="23" t="s">
        <v>689</v>
      </c>
      <c r="B6" s="24" t="s">
        <v>692</v>
      </c>
      <c r="C6" s="25">
        <v>34</v>
      </c>
      <c r="E6" s="26" t="s">
        <v>53</v>
      </c>
      <c r="F6" s="26" t="s">
        <v>301</v>
      </c>
      <c r="G6" s="27"/>
      <c r="H6" s="26" t="s">
        <v>490</v>
      </c>
    </row>
    <row r="7" spans="1:8" x14ac:dyDescent="0.25">
      <c r="A7" s="23" t="s">
        <v>513</v>
      </c>
      <c r="B7" s="24" t="s">
        <v>514</v>
      </c>
      <c r="C7" s="25">
        <v>35</v>
      </c>
      <c r="E7" s="26" t="s">
        <v>54</v>
      </c>
      <c r="F7" s="26" t="s">
        <v>54</v>
      </c>
      <c r="G7" s="27"/>
      <c r="H7" s="26" t="s">
        <v>491</v>
      </c>
    </row>
    <row r="8" spans="1:8" x14ac:dyDescent="0.25">
      <c r="A8" s="23" t="s">
        <v>515</v>
      </c>
      <c r="B8" s="24" t="s">
        <v>516</v>
      </c>
      <c r="C8" s="25">
        <v>36</v>
      </c>
      <c r="E8" s="26" t="s">
        <v>55</v>
      </c>
      <c r="F8" s="26" t="s">
        <v>302</v>
      </c>
      <c r="G8" s="27"/>
      <c r="H8" s="26" t="s">
        <v>492</v>
      </c>
    </row>
    <row r="9" spans="1:8" x14ac:dyDescent="0.25">
      <c r="A9" s="23" t="s">
        <v>517</v>
      </c>
      <c r="B9" s="24" t="s">
        <v>518</v>
      </c>
      <c r="C9" s="25">
        <v>37</v>
      </c>
      <c r="E9" s="26" t="s">
        <v>56</v>
      </c>
      <c r="F9" s="26" t="s">
        <v>303</v>
      </c>
      <c r="G9" s="27"/>
      <c r="H9" s="26" t="s">
        <v>493</v>
      </c>
    </row>
    <row r="10" spans="1:8" x14ac:dyDescent="0.25">
      <c r="A10" s="23" t="s">
        <v>690</v>
      </c>
      <c r="B10" s="24" t="s">
        <v>693</v>
      </c>
      <c r="C10" s="25">
        <v>38</v>
      </c>
      <c r="E10" s="26" t="s">
        <v>57</v>
      </c>
      <c r="F10" s="26"/>
      <c r="G10" s="27"/>
      <c r="H10" s="26" t="s">
        <v>494</v>
      </c>
    </row>
    <row r="11" spans="1:8" x14ac:dyDescent="0.25">
      <c r="A11" s="28" t="s">
        <v>699</v>
      </c>
      <c r="B11" s="24" t="s">
        <v>694</v>
      </c>
      <c r="C11" s="25">
        <v>39</v>
      </c>
      <c r="E11" s="26" t="s">
        <v>58</v>
      </c>
      <c r="F11" s="26" t="s">
        <v>304</v>
      </c>
      <c r="G11" s="27"/>
      <c r="H11" s="26" t="s">
        <v>495</v>
      </c>
    </row>
    <row r="12" spans="1:8" x14ac:dyDescent="0.25">
      <c r="A12" s="23" t="s">
        <v>519</v>
      </c>
      <c r="B12" s="24" t="s">
        <v>520</v>
      </c>
      <c r="C12" s="25">
        <v>40</v>
      </c>
      <c r="E12" s="26" t="s">
        <v>59</v>
      </c>
      <c r="F12" s="26" t="s">
        <v>305</v>
      </c>
      <c r="G12" s="27"/>
      <c r="H12" s="26" t="s">
        <v>496</v>
      </c>
    </row>
    <row r="13" spans="1:8" x14ac:dyDescent="0.25">
      <c r="A13" s="23" t="s">
        <v>521</v>
      </c>
      <c r="B13" s="24" t="s">
        <v>522</v>
      </c>
      <c r="C13" s="25">
        <v>41</v>
      </c>
      <c r="E13" s="26" t="s">
        <v>60</v>
      </c>
      <c r="F13" s="26" t="s">
        <v>306</v>
      </c>
      <c r="G13" s="27"/>
      <c r="H13" s="26" t="s">
        <v>497</v>
      </c>
    </row>
    <row r="14" spans="1:8" x14ac:dyDescent="0.25">
      <c r="A14" s="23" t="s">
        <v>523</v>
      </c>
      <c r="B14" s="24" t="s">
        <v>524</v>
      </c>
      <c r="C14" s="25">
        <v>42</v>
      </c>
      <c r="E14" s="26" t="s">
        <v>61</v>
      </c>
      <c r="F14" s="26"/>
      <c r="G14" s="27"/>
      <c r="H14" s="26" t="s">
        <v>498</v>
      </c>
    </row>
    <row r="15" spans="1:8" x14ac:dyDescent="0.25">
      <c r="A15" s="23" t="s">
        <v>525</v>
      </c>
      <c r="B15" s="24" t="s">
        <v>526</v>
      </c>
      <c r="C15" s="25">
        <v>43</v>
      </c>
      <c r="E15" s="26" t="s">
        <v>62</v>
      </c>
      <c r="F15" s="26" t="s">
        <v>307</v>
      </c>
      <c r="G15" s="27"/>
      <c r="H15" s="26" t="s">
        <v>499</v>
      </c>
    </row>
    <row r="16" spans="1:8" x14ac:dyDescent="0.25">
      <c r="A16" s="23" t="s">
        <v>527</v>
      </c>
      <c r="B16" s="24" t="s">
        <v>528</v>
      </c>
      <c r="C16" s="25">
        <v>44</v>
      </c>
      <c r="E16" s="26" t="s">
        <v>63</v>
      </c>
      <c r="F16" s="26" t="s">
        <v>308</v>
      </c>
      <c r="G16" s="27"/>
      <c r="H16" s="26" t="s">
        <v>500</v>
      </c>
    </row>
    <row r="17" spans="1:8" x14ac:dyDescent="0.25">
      <c r="A17" s="23" t="s">
        <v>13</v>
      </c>
      <c r="B17" s="24" t="s">
        <v>529</v>
      </c>
      <c r="C17" s="25">
        <v>45</v>
      </c>
      <c r="E17" s="26" t="s">
        <v>64</v>
      </c>
      <c r="F17" s="26" t="s">
        <v>309</v>
      </c>
      <c r="G17" s="27"/>
      <c r="H17" s="26" t="s">
        <v>501</v>
      </c>
    </row>
    <row r="18" spans="1:8" x14ac:dyDescent="0.25">
      <c r="A18" s="23" t="s">
        <v>530</v>
      </c>
      <c r="B18" s="24" t="s">
        <v>531</v>
      </c>
      <c r="C18" s="25">
        <v>46</v>
      </c>
      <c r="E18" s="26" t="s">
        <v>65</v>
      </c>
      <c r="F18" s="26" t="s">
        <v>310</v>
      </c>
      <c r="G18" s="27"/>
      <c r="H18" s="26" t="s">
        <v>502</v>
      </c>
    </row>
    <row r="19" spans="1:8" x14ac:dyDescent="0.25">
      <c r="A19" s="23" t="s">
        <v>532</v>
      </c>
      <c r="B19" s="24" t="s">
        <v>533</v>
      </c>
      <c r="C19" s="25">
        <v>47</v>
      </c>
      <c r="E19" s="26" t="s">
        <v>66</v>
      </c>
      <c r="F19" s="26" t="s">
        <v>311</v>
      </c>
      <c r="G19" s="27"/>
      <c r="H19" s="26" t="s">
        <v>503</v>
      </c>
    </row>
    <row r="20" spans="1:8" x14ac:dyDescent="0.25">
      <c r="A20" s="23">
        <v>0</v>
      </c>
      <c r="B20" s="24" t="s">
        <v>534</v>
      </c>
      <c r="C20" s="25">
        <v>48</v>
      </c>
      <c r="E20" s="26" t="s">
        <v>67</v>
      </c>
      <c r="F20" s="26" t="s">
        <v>312</v>
      </c>
      <c r="G20" s="27"/>
      <c r="H20" s="26" t="s">
        <v>504</v>
      </c>
    </row>
    <row r="21" spans="1:8" x14ac:dyDescent="0.25">
      <c r="A21" s="23">
        <v>1</v>
      </c>
      <c r="B21" s="24" t="s">
        <v>535</v>
      </c>
      <c r="C21" s="25">
        <v>49</v>
      </c>
      <c r="E21" s="26" t="s">
        <v>68</v>
      </c>
      <c r="F21" s="26" t="s">
        <v>68</v>
      </c>
      <c r="G21" s="27"/>
      <c r="H21" s="26" t="s">
        <v>505</v>
      </c>
    </row>
    <row r="22" spans="1:8" x14ac:dyDescent="0.25">
      <c r="A22" s="23">
        <v>2</v>
      </c>
      <c r="B22" s="24" t="s">
        <v>536</v>
      </c>
      <c r="C22" s="25">
        <v>50</v>
      </c>
      <c r="E22" s="26" t="s">
        <v>69</v>
      </c>
      <c r="F22" s="26" t="s">
        <v>313</v>
      </c>
      <c r="G22" s="27"/>
      <c r="H22" s="27"/>
    </row>
    <row r="23" spans="1:8" x14ac:dyDescent="0.25">
      <c r="A23" s="23">
        <v>3</v>
      </c>
      <c r="B23" s="24" t="s">
        <v>537</v>
      </c>
      <c r="C23" s="25">
        <v>51</v>
      </c>
      <c r="E23" s="26" t="s">
        <v>70</v>
      </c>
      <c r="F23" s="26" t="s">
        <v>314</v>
      </c>
      <c r="G23" s="27"/>
      <c r="H23" s="27"/>
    </row>
    <row r="24" spans="1:8" x14ac:dyDescent="0.25">
      <c r="A24" s="23">
        <v>4</v>
      </c>
      <c r="B24" s="24" t="s">
        <v>538</v>
      </c>
      <c r="C24" s="25">
        <v>52</v>
      </c>
      <c r="E24" s="26" t="s">
        <v>71</v>
      </c>
      <c r="F24" s="26" t="s">
        <v>315</v>
      </c>
      <c r="G24" s="27"/>
      <c r="H24" s="27"/>
    </row>
    <row r="25" spans="1:8" x14ac:dyDescent="0.25">
      <c r="A25" s="23">
        <v>5</v>
      </c>
      <c r="B25" s="24" t="s">
        <v>539</v>
      </c>
      <c r="C25" s="25">
        <v>53</v>
      </c>
      <c r="E25" s="26" t="s">
        <v>72</v>
      </c>
      <c r="F25" s="26" t="s">
        <v>316</v>
      </c>
      <c r="G25" s="27"/>
      <c r="H25" s="27"/>
    </row>
    <row r="26" spans="1:8" x14ac:dyDescent="0.25">
      <c r="A26" s="23">
        <v>6</v>
      </c>
      <c r="B26" s="24" t="s">
        <v>540</v>
      </c>
      <c r="C26" s="25">
        <v>54</v>
      </c>
      <c r="E26" s="26" t="s">
        <v>73</v>
      </c>
      <c r="F26" s="26"/>
      <c r="G26" s="27"/>
      <c r="H26" s="27"/>
    </row>
    <row r="27" spans="1:8" x14ac:dyDescent="0.25">
      <c r="A27" s="23">
        <v>7</v>
      </c>
      <c r="B27" s="24" t="s">
        <v>541</v>
      </c>
      <c r="C27" s="25">
        <v>55</v>
      </c>
      <c r="E27" s="26" t="s">
        <v>74</v>
      </c>
      <c r="F27" s="26" t="s">
        <v>317</v>
      </c>
      <c r="G27" s="27"/>
      <c r="H27" s="27"/>
    </row>
    <row r="28" spans="1:8" x14ac:dyDescent="0.25">
      <c r="A28" s="23">
        <v>8</v>
      </c>
      <c r="B28" s="24" t="s">
        <v>542</v>
      </c>
      <c r="C28" s="25">
        <v>56</v>
      </c>
      <c r="E28" s="26" t="s">
        <v>75</v>
      </c>
      <c r="F28" s="26" t="s">
        <v>318</v>
      </c>
      <c r="G28" s="27"/>
      <c r="H28" s="27"/>
    </row>
    <row r="29" spans="1:8" x14ac:dyDescent="0.25">
      <c r="A29" s="23">
        <v>9</v>
      </c>
      <c r="B29" s="24" t="s">
        <v>543</v>
      </c>
      <c r="C29" s="25">
        <v>57</v>
      </c>
      <c r="E29" s="26" t="s">
        <v>76</v>
      </c>
      <c r="F29" s="26" t="s">
        <v>319</v>
      </c>
      <c r="G29" s="27"/>
      <c r="H29" s="27"/>
    </row>
    <row r="30" spans="1:8" x14ac:dyDescent="0.25">
      <c r="A30" s="23" t="s">
        <v>544</v>
      </c>
      <c r="B30" s="24" t="s">
        <v>545</v>
      </c>
      <c r="C30" s="25">
        <v>58</v>
      </c>
      <c r="E30" s="26" t="s">
        <v>77</v>
      </c>
      <c r="F30" s="26" t="s">
        <v>77</v>
      </c>
      <c r="G30" s="27"/>
      <c r="H30" s="27"/>
    </row>
    <row r="31" spans="1:8" x14ac:dyDescent="0.25">
      <c r="A31" s="23" t="s">
        <v>546</v>
      </c>
      <c r="B31" s="24" t="s">
        <v>547</v>
      </c>
      <c r="C31" s="25">
        <v>59</v>
      </c>
      <c r="E31" s="26" t="s">
        <v>78</v>
      </c>
      <c r="F31" s="26" t="s">
        <v>320</v>
      </c>
      <c r="G31" s="27"/>
      <c r="H31" s="27"/>
    </row>
    <row r="32" spans="1:8" x14ac:dyDescent="0.25">
      <c r="A32" s="23" t="s">
        <v>696</v>
      </c>
      <c r="B32" s="24" t="s">
        <v>695</v>
      </c>
      <c r="C32" s="25">
        <v>60</v>
      </c>
      <c r="E32" s="26" t="s">
        <v>79</v>
      </c>
      <c r="F32" s="26"/>
      <c r="G32" s="27"/>
      <c r="H32" s="27"/>
    </row>
    <row r="33" spans="1:8" x14ac:dyDescent="0.25">
      <c r="A33" s="23" t="s">
        <v>548</v>
      </c>
      <c r="B33" s="24" t="s">
        <v>549</v>
      </c>
      <c r="C33" s="25">
        <v>61</v>
      </c>
      <c r="E33" s="26" t="s">
        <v>80</v>
      </c>
      <c r="F33" s="26"/>
      <c r="G33" s="27"/>
      <c r="H33" s="27"/>
    </row>
    <row r="34" spans="1:8" x14ac:dyDescent="0.25">
      <c r="A34" s="23" t="s">
        <v>698</v>
      </c>
      <c r="B34" s="24" t="s">
        <v>697</v>
      </c>
      <c r="C34" s="25">
        <v>62</v>
      </c>
      <c r="E34" s="26" t="s">
        <v>81</v>
      </c>
      <c r="F34" s="26"/>
      <c r="G34" s="27"/>
      <c r="H34" s="27"/>
    </row>
    <row r="35" spans="1:8" x14ac:dyDescent="0.25">
      <c r="A35" s="23" t="s">
        <v>550</v>
      </c>
      <c r="B35" s="24" t="s">
        <v>551</v>
      </c>
      <c r="C35" s="25">
        <v>63</v>
      </c>
      <c r="E35" s="26" t="s">
        <v>82</v>
      </c>
      <c r="F35" s="26" t="s">
        <v>321</v>
      </c>
      <c r="G35" s="27"/>
      <c r="H35" s="27"/>
    </row>
    <row r="36" spans="1:8" x14ac:dyDescent="0.25">
      <c r="A36" s="23" t="s">
        <v>506</v>
      </c>
      <c r="B36" s="24" t="s">
        <v>552</v>
      </c>
      <c r="C36" s="25">
        <v>64</v>
      </c>
      <c r="E36" s="26" t="s">
        <v>83</v>
      </c>
      <c r="F36" s="26" t="s">
        <v>322</v>
      </c>
      <c r="G36" s="27"/>
      <c r="H36" s="27"/>
    </row>
    <row r="37" spans="1:8" x14ac:dyDescent="0.25">
      <c r="A37" s="23" t="s">
        <v>553</v>
      </c>
      <c r="B37" s="24" t="s">
        <v>554</v>
      </c>
      <c r="C37" s="25">
        <v>65</v>
      </c>
      <c r="E37" s="26" t="s">
        <v>84</v>
      </c>
      <c r="F37" s="26" t="s">
        <v>323</v>
      </c>
      <c r="G37" s="27"/>
      <c r="H37" s="27"/>
    </row>
    <row r="38" spans="1:8" x14ac:dyDescent="0.25">
      <c r="A38" s="23" t="s">
        <v>555</v>
      </c>
      <c r="B38" s="24" t="s">
        <v>556</v>
      </c>
      <c r="C38" s="25">
        <v>66</v>
      </c>
      <c r="E38" s="26" t="s">
        <v>85</v>
      </c>
      <c r="F38" s="26" t="s">
        <v>324</v>
      </c>
      <c r="G38" s="27"/>
      <c r="H38" s="27"/>
    </row>
    <row r="39" spans="1:8" x14ac:dyDescent="0.25">
      <c r="A39" s="23" t="s">
        <v>557</v>
      </c>
      <c r="B39" s="24" t="s">
        <v>558</v>
      </c>
      <c r="C39" s="25">
        <v>67</v>
      </c>
      <c r="E39" s="26" t="s">
        <v>86</v>
      </c>
      <c r="F39" s="26" t="s">
        <v>325</v>
      </c>
      <c r="G39" s="27"/>
      <c r="H39" s="27"/>
    </row>
    <row r="40" spans="1:8" x14ac:dyDescent="0.25">
      <c r="A40" s="23" t="s">
        <v>559</v>
      </c>
      <c r="B40" s="24" t="s">
        <v>560</v>
      </c>
      <c r="C40" s="25">
        <v>68</v>
      </c>
      <c r="E40" s="26" t="s">
        <v>87</v>
      </c>
      <c r="F40" s="26" t="s">
        <v>326</v>
      </c>
      <c r="G40" s="27"/>
      <c r="H40" s="27"/>
    </row>
    <row r="41" spans="1:8" x14ac:dyDescent="0.25">
      <c r="A41" s="23" t="s">
        <v>561</v>
      </c>
      <c r="B41" s="24" t="s">
        <v>562</v>
      </c>
      <c r="C41" s="25">
        <v>69</v>
      </c>
      <c r="E41" s="26" t="s">
        <v>88</v>
      </c>
      <c r="F41" s="26" t="s">
        <v>327</v>
      </c>
      <c r="G41" s="27"/>
      <c r="H41" s="27"/>
    </row>
    <row r="42" spans="1:8" x14ac:dyDescent="0.25">
      <c r="A42" s="23" t="s">
        <v>563</v>
      </c>
      <c r="B42" s="24" t="s">
        <v>564</v>
      </c>
      <c r="C42" s="25">
        <v>70</v>
      </c>
      <c r="E42" s="26" t="s">
        <v>89</v>
      </c>
      <c r="F42" s="26"/>
      <c r="G42" s="27"/>
      <c r="H42" s="27"/>
    </row>
    <row r="43" spans="1:8" x14ac:dyDescent="0.25">
      <c r="A43" s="23" t="s">
        <v>565</v>
      </c>
      <c r="B43" s="24" t="s">
        <v>566</v>
      </c>
      <c r="C43" s="25">
        <v>71</v>
      </c>
      <c r="E43" s="26" t="s">
        <v>90</v>
      </c>
      <c r="F43" s="26" t="s">
        <v>328</v>
      </c>
      <c r="G43" s="27"/>
      <c r="H43" s="27"/>
    </row>
    <row r="44" spans="1:8" x14ac:dyDescent="0.25">
      <c r="A44" s="23" t="s">
        <v>567</v>
      </c>
      <c r="B44" s="24" t="s">
        <v>568</v>
      </c>
      <c r="C44" s="25">
        <v>72</v>
      </c>
      <c r="E44" s="26" t="s">
        <v>91</v>
      </c>
      <c r="F44" s="26"/>
      <c r="G44" s="27"/>
      <c r="H44" s="27"/>
    </row>
    <row r="45" spans="1:8" x14ac:dyDescent="0.25">
      <c r="A45" s="23" t="s">
        <v>569</v>
      </c>
      <c r="B45" s="24" t="s">
        <v>570</v>
      </c>
      <c r="C45" s="25">
        <v>73</v>
      </c>
      <c r="E45" s="26" t="s">
        <v>92</v>
      </c>
      <c r="F45" s="26" t="s">
        <v>92</v>
      </c>
      <c r="G45" s="27"/>
      <c r="H45" s="27"/>
    </row>
    <row r="46" spans="1:8" x14ac:dyDescent="0.25">
      <c r="A46" s="23" t="s">
        <v>571</v>
      </c>
      <c r="B46" s="24" t="s">
        <v>572</v>
      </c>
      <c r="C46" s="25">
        <v>74</v>
      </c>
      <c r="E46" s="26" t="s">
        <v>93</v>
      </c>
      <c r="F46" s="26" t="s">
        <v>329</v>
      </c>
      <c r="G46" s="27"/>
      <c r="H46" s="27"/>
    </row>
    <row r="47" spans="1:8" x14ac:dyDescent="0.25">
      <c r="A47" s="23" t="s">
        <v>573</v>
      </c>
      <c r="B47" s="24" t="s">
        <v>574</v>
      </c>
      <c r="C47" s="25">
        <v>75</v>
      </c>
      <c r="E47" s="26" t="s">
        <v>94</v>
      </c>
      <c r="F47" s="26"/>
      <c r="G47" s="27"/>
      <c r="H47" s="27"/>
    </row>
    <row r="48" spans="1:8" x14ac:dyDescent="0.25">
      <c r="A48" s="23" t="s">
        <v>575</v>
      </c>
      <c r="B48" s="24" t="s">
        <v>576</v>
      </c>
      <c r="C48" s="25">
        <v>76</v>
      </c>
      <c r="E48" s="26" t="s">
        <v>95</v>
      </c>
      <c r="F48" s="26" t="s">
        <v>330</v>
      </c>
      <c r="G48" s="27"/>
      <c r="H48" s="27"/>
    </row>
    <row r="49" spans="1:8" x14ac:dyDescent="0.25">
      <c r="A49" s="23" t="s">
        <v>577</v>
      </c>
      <c r="B49" s="24" t="s">
        <v>578</v>
      </c>
      <c r="C49" s="25">
        <v>77</v>
      </c>
      <c r="E49" s="26" t="s">
        <v>96</v>
      </c>
      <c r="F49" s="26" t="s">
        <v>331</v>
      </c>
      <c r="G49" s="27"/>
      <c r="H49" s="27"/>
    </row>
    <row r="50" spans="1:8" x14ac:dyDescent="0.25">
      <c r="A50" s="23" t="s">
        <v>579</v>
      </c>
      <c r="B50" s="24" t="s">
        <v>580</v>
      </c>
      <c r="C50" s="25">
        <v>78</v>
      </c>
      <c r="E50" s="26" t="s">
        <v>97</v>
      </c>
      <c r="F50" s="26"/>
      <c r="G50" s="27"/>
      <c r="H50" s="27"/>
    </row>
    <row r="51" spans="1:8" x14ac:dyDescent="0.25">
      <c r="A51" s="23" t="s">
        <v>581</v>
      </c>
      <c r="B51" s="24" t="s">
        <v>582</v>
      </c>
      <c r="C51" s="25">
        <v>79</v>
      </c>
      <c r="E51" s="26" t="s">
        <v>98</v>
      </c>
      <c r="F51" s="26"/>
      <c r="G51" s="27"/>
      <c r="H51" s="27"/>
    </row>
    <row r="52" spans="1:8" x14ac:dyDescent="0.25">
      <c r="A52" s="23" t="s">
        <v>583</v>
      </c>
      <c r="B52" s="24" t="s">
        <v>584</v>
      </c>
      <c r="C52" s="25">
        <v>80</v>
      </c>
      <c r="E52" s="26" t="s">
        <v>99</v>
      </c>
      <c r="F52" s="26" t="s">
        <v>332</v>
      </c>
      <c r="G52" s="27"/>
      <c r="H52" s="27"/>
    </row>
    <row r="53" spans="1:8" x14ac:dyDescent="0.25">
      <c r="A53" s="23" t="s">
        <v>585</v>
      </c>
      <c r="B53" s="24" t="s">
        <v>586</v>
      </c>
      <c r="C53" s="25">
        <v>81</v>
      </c>
      <c r="E53" s="26" t="s">
        <v>100</v>
      </c>
      <c r="F53" s="26" t="s">
        <v>333</v>
      </c>
      <c r="G53" s="27"/>
      <c r="H53" s="27"/>
    </row>
    <row r="54" spans="1:8" x14ac:dyDescent="0.25">
      <c r="A54" s="23" t="s">
        <v>587</v>
      </c>
      <c r="B54" s="24" t="s">
        <v>588</v>
      </c>
      <c r="C54" s="25">
        <v>82</v>
      </c>
      <c r="E54" s="26" t="s">
        <v>101</v>
      </c>
      <c r="F54" s="26" t="s">
        <v>334</v>
      </c>
      <c r="G54" s="27"/>
      <c r="H54" s="27"/>
    </row>
    <row r="55" spans="1:8" x14ac:dyDescent="0.25">
      <c r="A55" s="23" t="s">
        <v>589</v>
      </c>
      <c r="B55" s="24" t="s">
        <v>590</v>
      </c>
      <c r="C55" s="25">
        <v>83</v>
      </c>
      <c r="E55" s="26" t="s">
        <v>102</v>
      </c>
      <c r="F55" s="26" t="s">
        <v>335</v>
      </c>
      <c r="G55" s="27"/>
      <c r="H55" s="27"/>
    </row>
    <row r="56" spans="1:8" x14ac:dyDescent="0.25">
      <c r="A56" s="23" t="s">
        <v>591</v>
      </c>
      <c r="B56" s="24" t="s">
        <v>592</v>
      </c>
      <c r="C56" s="25">
        <v>84</v>
      </c>
      <c r="E56" s="26" t="s">
        <v>103</v>
      </c>
      <c r="F56" s="26" t="s">
        <v>336</v>
      </c>
      <c r="G56" s="27"/>
      <c r="H56" s="27"/>
    </row>
    <row r="57" spans="1:8" x14ac:dyDescent="0.25">
      <c r="A57" s="23" t="s">
        <v>593</v>
      </c>
      <c r="B57" s="24" t="s">
        <v>594</v>
      </c>
      <c r="C57" s="25">
        <v>85</v>
      </c>
      <c r="E57" s="26" t="s">
        <v>104</v>
      </c>
      <c r="F57" s="26" t="s">
        <v>337</v>
      </c>
      <c r="G57" s="27"/>
      <c r="H57" s="27"/>
    </row>
    <row r="58" spans="1:8" x14ac:dyDescent="0.25">
      <c r="A58" s="23" t="s">
        <v>595</v>
      </c>
      <c r="B58" s="24" t="s">
        <v>596</v>
      </c>
      <c r="C58" s="25">
        <v>86</v>
      </c>
      <c r="E58" s="26" t="s">
        <v>105</v>
      </c>
      <c r="F58" s="26" t="s">
        <v>338</v>
      </c>
      <c r="G58" s="27"/>
      <c r="H58" s="27"/>
    </row>
    <row r="59" spans="1:8" x14ac:dyDescent="0.25">
      <c r="A59" s="23" t="s">
        <v>597</v>
      </c>
      <c r="B59" s="24" t="s">
        <v>598</v>
      </c>
      <c r="C59" s="25">
        <v>87</v>
      </c>
      <c r="E59" s="26" t="s">
        <v>106</v>
      </c>
      <c r="F59" s="26" t="s">
        <v>339</v>
      </c>
      <c r="G59" s="27"/>
      <c r="H59" s="27"/>
    </row>
    <row r="60" spans="1:8" x14ac:dyDescent="0.25">
      <c r="A60" s="23" t="s">
        <v>599</v>
      </c>
      <c r="B60" s="24" t="s">
        <v>600</v>
      </c>
      <c r="C60" s="25">
        <v>88</v>
      </c>
      <c r="E60" s="26" t="s">
        <v>107</v>
      </c>
      <c r="F60" s="26" t="s">
        <v>340</v>
      </c>
      <c r="G60" s="27"/>
      <c r="H60" s="27"/>
    </row>
    <row r="61" spans="1:8" x14ac:dyDescent="0.25">
      <c r="A61" s="23" t="s">
        <v>601</v>
      </c>
      <c r="B61" s="24" t="s">
        <v>602</v>
      </c>
      <c r="C61" s="25">
        <v>89</v>
      </c>
      <c r="E61" s="26" t="s">
        <v>108</v>
      </c>
      <c r="F61" s="26" t="s">
        <v>341</v>
      </c>
      <c r="G61" s="27"/>
      <c r="H61" s="27"/>
    </row>
    <row r="62" spans="1:8" x14ac:dyDescent="0.25">
      <c r="A62" s="23" t="s">
        <v>603</v>
      </c>
      <c r="B62" s="24" t="s">
        <v>604</v>
      </c>
      <c r="C62" s="25">
        <v>90</v>
      </c>
      <c r="E62" s="26" t="s">
        <v>109</v>
      </c>
      <c r="F62" s="26" t="s">
        <v>342</v>
      </c>
      <c r="G62" s="27"/>
      <c r="H62" s="27"/>
    </row>
    <row r="63" spans="1:8" x14ac:dyDescent="0.25">
      <c r="A63" s="23" t="s">
        <v>605</v>
      </c>
      <c r="B63" s="24" t="s">
        <v>606</v>
      </c>
      <c r="C63" s="25">
        <v>91</v>
      </c>
      <c r="E63" s="26" t="s">
        <v>110</v>
      </c>
      <c r="F63" s="26" t="s">
        <v>343</v>
      </c>
      <c r="G63" s="27"/>
      <c r="H63" s="27"/>
    </row>
    <row r="64" spans="1:8" x14ac:dyDescent="0.25">
      <c r="A64" s="23" t="s">
        <v>607</v>
      </c>
      <c r="B64" s="24" t="s">
        <v>608</v>
      </c>
      <c r="C64" s="25">
        <v>92</v>
      </c>
      <c r="E64" s="26" t="s">
        <v>111</v>
      </c>
      <c r="F64" s="26" t="s">
        <v>344</v>
      </c>
      <c r="G64" s="27"/>
      <c r="H64" s="27"/>
    </row>
    <row r="65" spans="1:8" x14ac:dyDescent="0.25">
      <c r="A65" s="23" t="s">
        <v>609</v>
      </c>
      <c r="B65" s="24" t="s">
        <v>610</v>
      </c>
      <c r="C65" s="25">
        <v>93</v>
      </c>
      <c r="E65" s="26" t="s">
        <v>112</v>
      </c>
      <c r="F65" s="26" t="s">
        <v>345</v>
      </c>
      <c r="G65" s="27"/>
      <c r="H65" s="27"/>
    </row>
    <row r="66" spans="1:8" x14ac:dyDescent="0.25">
      <c r="A66" s="23" t="s">
        <v>611</v>
      </c>
      <c r="B66" s="24" t="s">
        <v>612</v>
      </c>
      <c r="C66" s="25">
        <v>94</v>
      </c>
      <c r="E66" s="26" t="s">
        <v>113</v>
      </c>
      <c r="F66" s="26" t="s">
        <v>346</v>
      </c>
      <c r="G66" s="27"/>
      <c r="H66" s="27"/>
    </row>
    <row r="67" spans="1:8" x14ac:dyDescent="0.25">
      <c r="A67" s="23" t="s">
        <v>613</v>
      </c>
      <c r="B67" s="24" t="s">
        <v>614</v>
      </c>
      <c r="C67" s="25">
        <v>95</v>
      </c>
      <c r="E67" s="26" t="s">
        <v>114</v>
      </c>
      <c r="F67" s="26" t="s">
        <v>347</v>
      </c>
      <c r="G67" s="27"/>
      <c r="H67" s="27"/>
    </row>
    <row r="68" spans="1:8" x14ac:dyDescent="0.25">
      <c r="A68" s="23" t="s">
        <v>615</v>
      </c>
      <c r="B68" s="24" t="s">
        <v>616</v>
      </c>
      <c r="C68" s="25">
        <v>96</v>
      </c>
      <c r="E68" s="26" t="s">
        <v>115</v>
      </c>
      <c r="F68" s="26" t="s">
        <v>348</v>
      </c>
      <c r="G68" s="27"/>
      <c r="H68" s="27"/>
    </row>
    <row r="69" spans="1:8" x14ac:dyDescent="0.25">
      <c r="A69" s="23" t="s">
        <v>617</v>
      </c>
      <c r="B69" s="24" t="s">
        <v>618</v>
      </c>
      <c r="C69" s="25">
        <v>97</v>
      </c>
      <c r="E69" s="26" t="s">
        <v>116</v>
      </c>
      <c r="F69" s="26" t="s">
        <v>116</v>
      </c>
      <c r="G69" s="27"/>
      <c r="H69" s="27"/>
    </row>
    <row r="70" spans="1:8" x14ac:dyDescent="0.25">
      <c r="A70" s="23" t="s">
        <v>619</v>
      </c>
      <c r="B70" s="24" t="s">
        <v>620</v>
      </c>
      <c r="C70" s="25">
        <v>98</v>
      </c>
      <c r="E70" s="26" t="s">
        <v>117</v>
      </c>
      <c r="F70" s="26" t="s">
        <v>349</v>
      </c>
      <c r="G70" s="27"/>
      <c r="H70" s="27"/>
    </row>
    <row r="71" spans="1:8" x14ac:dyDescent="0.25">
      <c r="A71" s="23" t="s">
        <v>621</v>
      </c>
      <c r="B71" s="24" t="s">
        <v>622</v>
      </c>
      <c r="C71" s="25">
        <v>99</v>
      </c>
      <c r="E71" s="26" t="s">
        <v>118</v>
      </c>
      <c r="F71" s="26" t="s">
        <v>350</v>
      </c>
      <c r="G71" s="27"/>
      <c r="H71" s="27"/>
    </row>
    <row r="72" spans="1:8" x14ac:dyDescent="0.25">
      <c r="A72" s="23" t="s">
        <v>650</v>
      </c>
      <c r="B72" s="24" t="s">
        <v>623</v>
      </c>
      <c r="C72" s="25">
        <v>100</v>
      </c>
      <c r="E72" s="26" t="s">
        <v>119</v>
      </c>
      <c r="F72" s="26" t="s">
        <v>351</v>
      </c>
      <c r="G72" s="27"/>
      <c r="H72" s="27"/>
    </row>
    <row r="73" spans="1:8" x14ac:dyDescent="0.25">
      <c r="A73" s="23" t="s">
        <v>651</v>
      </c>
      <c r="B73" s="24" t="s">
        <v>624</v>
      </c>
      <c r="C73" s="25">
        <v>101</v>
      </c>
      <c r="E73" s="26" t="s">
        <v>120</v>
      </c>
      <c r="F73" s="26"/>
      <c r="G73" s="27"/>
      <c r="H73" s="27"/>
    </row>
    <row r="74" spans="1:8" x14ac:dyDescent="0.25">
      <c r="A74" s="23" t="s">
        <v>652</v>
      </c>
      <c r="B74" s="24" t="s">
        <v>625</v>
      </c>
      <c r="C74" s="25">
        <v>102</v>
      </c>
      <c r="E74" s="26" t="s">
        <v>121</v>
      </c>
      <c r="F74" s="26"/>
      <c r="G74" s="27"/>
      <c r="H74" s="27"/>
    </row>
    <row r="75" spans="1:8" x14ac:dyDescent="0.25">
      <c r="A75" s="23" t="s">
        <v>653</v>
      </c>
      <c r="B75" s="24" t="s">
        <v>626</v>
      </c>
      <c r="C75" s="25">
        <v>103</v>
      </c>
      <c r="E75" s="26" t="s">
        <v>122</v>
      </c>
      <c r="F75" s="26" t="s">
        <v>352</v>
      </c>
      <c r="G75" s="27"/>
      <c r="H75" s="27"/>
    </row>
    <row r="76" spans="1:8" x14ac:dyDescent="0.25">
      <c r="A76" s="23" t="s">
        <v>654</v>
      </c>
      <c r="B76" s="24" t="s">
        <v>627</v>
      </c>
      <c r="C76" s="25">
        <v>104</v>
      </c>
      <c r="E76" s="26" t="s">
        <v>123</v>
      </c>
      <c r="F76" s="26" t="s">
        <v>353</v>
      </c>
      <c r="G76" s="27"/>
      <c r="H76" s="27"/>
    </row>
    <row r="77" spans="1:8" x14ac:dyDescent="0.25">
      <c r="A77" s="23" t="s">
        <v>655</v>
      </c>
      <c r="B77" s="24" t="s">
        <v>628</v>
      </c>
      <c r="C77" s="25">
        <v>105</v>
      </c>
      <c r="E77" s="26" t="s">
        <v>124</v>
      </c>
      <c r="F77" s="26" t="s">
        <v>354</v>
      </c>
      <c r="G77" s="27"/>
      <c r="H77" s="27"/>
    </row>
    <row r="78" spans="1:8" x14ac:dyDescent="0.25">
      <c r="A78" s="23" t="s">
        <v>656</v>
      </c>
      <c r="B78" s="24" t="s">
        <v>629</v>
      </c>
      <c r="C78" s="25">
        <v>106</v>
      </c>
      <c r="E78" s="26" t="s">
        <v>125</v>
      </c>
      <c r="F78" s="26" t="s">
        <v>355</v>
      </c>
      <c r="G78" s="27"/>
      <c r="H78" s="27"/>
    </row>
    <row r="79" spans="1:8" x14ac:dyDescent="0.25">
      <c r="A79" s="23" t="s">
        <v>657</v>
      </c>
      <c r="B79" s="24" t="s">
        <v>630</v>
      </c>
      <c r="C79" s="25">
        <v>107</v>
      </c>
      <c r="E79" s="26" t="s">
        <v>126</v>
      </c>
      <c r="F79" s="26" t="s">
        <v>356</v>
      </c>
      <c r="G79" s="27"/>
      <c r="H79" s="27"/>
    </row>
    <row r="80" spans="1:8" ht="25.5" x14ac:dyDescent="0.25">
      <c r="A80" s="23" t="s">
        <v>658</v>
      </c>
      <c r="B80" s="24" t="s">
        <v>631</v>
      </c>
      <c r="C80" s="25">
        <v>108</v>
      </c>
      <c r="E80" s="26" t="s">
        <v>127</v>
      </c>
      <c r="F80" s="26"/>
      <c r="G80" s="27"/>
      <c r="H80" s="27"/>
    </row>
    <row r="81" spans="1:8" x14ac:dyDescent="0.25">
      <c r="A81" s="23" t="s">
        <v>659</v>
      </c>
      <c r="B81" s="24" t="s">
        <v>632</v>
      </c>
      <c r="C81" s="25">
        <v>109</v>
      </c>
      <c r="E81" s="26" t="s">
        <v>128</v>
      </c>
      <c r="F81" s="26" t="s">
        <v>128</v>
      </c>
      <c r="G81" s="27"/>
      <c r="H81" s="27"/>
    </row>
    <row r="82" spans="1:8" x14ac:dyDescent="0.25">
      <c r="A82" s="23" t="s">
        <v>660</v>
      </c>
      <c r="B82" s="24" t="s">
        <v>633</v>
      </c>
      <c r="C82" s="25">
        <v>110</v>
      </c>
      <c r="E82" s="26" t="s">
        <v>129</v>
      </c>
      <c r="F82" s="26" t="s">
        <v>357</v>
      </c>
      <c r="G82" s="27"/>
      <c r="H82" s="27"/>
    </row>
    <row r="83" spans="1:8" x14ac:dyDescent="0.25">
      <c r="A83" s="23" t="s">
        <v>661</v>
      </c>
      <c r="B83" s="24" t="s">
        <v>634</v>
      </c>
      <c r="C83" s="25">
        <v>111</v>
      </c>
      <c r="E83" s="26" t="s">
        <v>130</v>
      </c>
      <c r="F83" s="26"/>
      <c r="G83" s="27"/>
      <c r="H83" s="27"/>
    </row>
    <row r="84" spans="1:8" x14ac:dyDescent="0.25">
      <c r="A84" s="23" t="s">
        <v>662</v>
      </c>
      <c r="B84" s="24" t="s">
        <v>635</v>
      </c>
      <c r="C84" s="25">
        <v>112</v>
      </c>
      <c r="E84" s="26" t="s">
        <v>131</v>
      </c>
      <c r="F84" s="26" t="s">
        <v>358</v>
      </c>
      <c r="G84" s="27"/>
      <c r="H84" s="27"/>
    </row>
    <row r="85" spans="1:8" x14ac:dyDescent="0.25">
      <c r="A85" s="23" t="s">
        <v>663</v>
      </c>
      <c r="B85" s="24" t="s">
        <v>636</v>
      </c>
      <c r="C85" s="25">
        <v>113</v>
      </c>
      <c r="E85" s="26" t="s">
        <v>132</v>
      </c>
      <c r="F85" s="26" t="s">
        <v>359</v>
      </c>
      <c r="G85" s="27"/>
      <c r="H85" s="27"/>
    </row>
    <row r="86" spans="1:8" x14ac:dyDescent="0.25">
      <c r="A86" s="23" t="s">
        <v>664</v>
      </c>
      <c r="B86" s="24" t="s">
        <v>637</v>
      </c>
      <c r="C86" s="25">
        <v>114</v>
      </c>
      <c r="E86" s="26" t="s">
        <v>133</v>
      </c>
      <c r="F86" s="26" t="s">
        <v>360</v>
      </c>
      <c r="G86" s="27"/>
      <c r="H86" s="27"/>
    </row>
    <row r="87" spans="1:8" x14ac:dyDescent="0.25">
      <c r="A87" s="23" t="s">
        <v>665</v>
      </c>
      <c r="B87" s="24" t="s">
        <v>638</v>
      </c>
      <c r="C87" s="25">
        <v>115</v>
      </c>
      <c r="E87" s="26" t="s">
        <v>134</v>
      </c>
      <c r="F87" s="26"/>
      <c r="G87" s="27"/>
      <c r="H87" s="27"/>
    </row>
    <row r="88" spans="1:8" x14ac:dyDescent="0.25">
      <c r="A88" s="23" t="s">
        <v>666</v>
      </c>
      <c r="B88" s="24" t="s">
        <v>639</v>
      </c>
      <c r="C88" s="25">
        <v>116</v>
      </c>
      <c r="E88" s="26" t="s">
        <v>135</v>
      </c>
      <c r="F88" s="26" t="s">
        <v>361</v>
      </c>
      <c r="G88" s="27"/>
      <c r="H88" s="27"/>
    </row>
    <row r="89" spans="1:8" x14ac:dyDescent="0.25">
      <c r="A89" s="23" t="s">
        <v>667</v>
      </c>
      <c r="B89" s="24" t="s">
        <v>640</v>
      </c>
      <c r="C89" s="25">
        <v>117</v>
      </c>
      <c r="E89" s="26" t="s">
        <v>136</v>
      </c>
      <c r="F89" s="26"/>
      <c r="G89" s="27"/>
      <c r="H89" s="27"/>
    </row>
    <row r="90" spans="1:8" x14ac:dyDescent="0.25">
      <c r="A90" s="23" t="s">
        <v>668</v>
      </c>
      <c r="B90" s="24" t="s">
        <v>641</v>
      </c>
      <c r="C90" s="25">
        <v>118</v>
      </c>
      <c r="E90" s="26" t="s">
        <v>137</v>
      </c>
      <c r="F90" s="26" t="s">
        <v>362</v>
      </c>
      <c r="G90" s="27"/>
      <c r="H90" s="27"/>
    </row>
    <row r="91" spans="1:8" x14ac:dyDescent="0.25">
      <c r="A91" s="23" t="s">
        <v>669</v>
      </c>
      <c r="B91" s="24" t="s">
        <v>642</v>
      </c>
      <c r="C91" s="25">
        <v>119</v>
      </c>
      <c r="E91" s="26" t="s">
        <v>138</v>
      </c>
      <c r="F91" s="26" t="s">
        <v>363</v>
      </c>
      <c r="G91" s="27"/>
      <c r="H91" s="27"/>
    </row>
    <row r="92" spans="1:8" x14ac:dyDescent="0.25">
      <c r="A92" s="23" t="s">
        <v>670</v>
      </c>
      <c r="B92" s="24" t="s">
        <v>643</v>
      </c>
      <c r="C92" s="25">
        <v>120</v>
      </c>
      <c r="E92" s="26" t="s">
        <v>139</v>
      </c>
      <c r="F92" s="26" t="s">
        <v>364</v>
      </c>
      <c r="G92" s="27"/>
      <c r="H92" s="27"/>
    </row>
    <row r="93" spans="1:8" x14ac:dyDescent="0.25">
      <c r="A93" s="23" t="s">
        <v>671</v>
      </c>
      <c r="B93" s="24" t="s">
        <v>644</v>
      </c>
      <c r="C93" s="25">
        <v>121</v>
      </c>
      <c r="E93" s="26" t="s">
        <v>140</v>
      </c>
      <c r="F93" s="26" t="s">
        <v>365</v>
      </c>
      <c r="G93" s="27"/>
      <c r="H93" s="27"/>
    </row>
    <row r="94" spans="1:8" x14ac:dyDescent="0.25">
      <c r="A94" s="23" t="s">
        <v>672</v>
      </c>
      <c r="B94" s="24" t="s">
        <v>645</v>
      </c>
      <c r="C94" s="25">
        <v>122</v>
      </c>
      <c r="E94" s="26" t="s">
        <v>141</v>
      </c>
      <c r="F94" s="26"/>
      <c r="G94" s="27"/>
      <c r="H94" s="27"/>
    </row>
    <row r="95" spans="1:8" x14ac:dyDescent="0.25">
      <c r="A95" s="23" t="s">
        <v>673</v>
      </c>
      <c r="B95" s="24" t="s">
        <v>646</v>
      </c>
      <c r="C95" s="25">
        <v>123</v>
      </c>
      <c r="E95" s="26" t="s">
        <v>142</v>
      </c>
      <c r="F95" s="26" t="s">
        <v>366</v>
      </c>
      <c r="G95" s="27"/>
      <c r="H95" s="27"/>
    </row>
    <row r="96" spans="1:8" x14ac:dyDescent="0.25">
      <c r="A96" s="23" t="s">
        <v>674</v>
      </c>
      <c r="B96" s="24" t="s">
        <v>647</v>
      </c>
      <c r="C96" s="25">
        <v>124</v>
      </c>
      <c r="E96" s="26" t="s">
        <v>143</v>
      </c>
      <c r="F96" s="26" t="s">
        <v>367</v>
      </c>
      <c r="G96" s="27"/>
      <c r="H96" s="27"/>
    </row>
    <row r="97" spans="1:8" x14ac:dyDescent="0.25">
      <c r="A97" s="23" t="s">
        <v>675</v>
      </c>
      <c r="B97" s="24" t="s">
        <v>648</v>
      </c>
      <c r="C97" s="25">
        <v>125</v>
      </c>
      <c r="E97" s="26" t="s">
        <v>144</v>
      </c>
      <c r="F97" s="26" t="s">
        <v>368</v>
      </c>
      <c r="G97" s="27"/>
      <c r="H97" s="27"/>
    </row>
    <row r="98" spans="1:8" x14ac:dyDescent="0.25">
      <c r="A98" s="23" t="s">
        <v>676</v>
      </c>
      <c r="B98" s="24" t="s">
        <v>649</v>
      </c>
      <c r="C98" s="25">
        <v>126</v>
      </c>
      <c r="E98" s="26" t="s">
        <v>145</v>
      </c>
      <c r="F98" s="26" t="s">
        <v>369</v>
      </c>
      <c r="G98" s="27"/>
      <c r="H98" s="27"/>
    </row>
    <row r="99" spans="1:8" x14ac:dyDescent="0.25">
      <c r="E99" s="26" t="s">
        <v>146</v>
      </c>
      <c r="F99" s="26"/>
      <c r="G99" s="27"/>
      <c r="H99" s="27"/>
    </row>
    <row r="100" spans="1:8" x14ac:dyDescent="0.25">
      <c r="A100" s="15"/>
      <c r="E100" s="26" t="s">
        <v>147</v>
      </c>
      <c r="F100" s="26" t="s">
        <v>370</v>
      </c>
      <c r="G100" s="27"/>
      <c r="H100" s="27"/>
    </row>
    <row r="101" spans="1:8" x14ac:dyDescent="0.25">
      <c r="E101" s="26" t="s">
        <v>148</v>
      </c>
      <c r="F101" s="26" t="s">
        <v>371</v>
      </c>
      <c r="G101" s="27"/>
      <c r="H101" s="27"/>
    </row>
    <row r="102" spans="1:8" x14ac:dyDescent="0.25">
      <c r="E102" s="26" t="s">
        <v>149</v>
      </c>
      <c r="F102" s="26" t="s">
        <v>372</v>
      </c>
      <c r="G102" s="27"/>
      <c r="H102" s="27"/>
    </row>
    <row r="103" spans="1:8" x14ac:dyDescent="0.25">
      <c r="E103" s="26" t="s">
        <v>150</v>
      </c>
      <c r="F103" s="26" t="s">
        <v>373</v>
      </c>
      <c r="G103" s="27"/>
      <c r="H103" s="27"/>
    </row>
    <row r="104" spans="1:8" x14ac:dyDescent="0.25">
      <c r="E104" s="26" t="s">
        <v>151</v>
      </c>
      <c r="F104" s="26" t="s">
        <v>374</v>
      </c>
      <c r="G104" s="27"/>
      <c r="H104" s="27"/>
    </row>
    <row r="105" spans="1:8" x14ac:dyDescent="0.25">
      <c r="E105" s="26" t="s">
        <v>152</v>
      </c>
      <c r="F105" s="26" t="s">
        <v>375</v>
      </c>
      <c r="G105" s="27"/>
      <c r="H105" s="27"/>
    </row>
    <row r="106" spans="1:8" x14ac:dyDescent="0.25">
      <c r="E106" s="26" t="s">
        <v>153</v>
      </c>
      <c r="F106" s="26" t="s">
        <v>376</v>
      </c>
      <c r="G106" s="27"/>
      <c r="H106" s="27"/>
    </row>
    <row r="107" spans="1:8" x14ac:dyDescent="0.25">
      <c r="E107" s="26" t="s">
        <v>154</v>
      </c>
      <c r="F107" s="26" t="s">
        <v>377</v>
      </c>
      <c r="G107" s="27"/>
      <c r="H107" s="27"/>
    </row>
    <row r="108" spans="1:8" x14ac:dyDescent="0.25">
      <c r="E108" s="26" t="s">
        <v>155</v>
      </c>
      <c r="F108" s="26" t="s">
        <v>378</v>
      </c>
      <c r="G108" s="27"/>
      <c r="H108" s="27"/>
    </row>
    <row r="109" spans="1:8" x14ac:dyDescent="0.25">
      <c r="E109" s="26" t="s">
        <v>156</v>
      </c>
      <c r="F109" s="26"/>
      <c r="G109" s="27"/>
      <c r="H109" s="27"/>
    </row>
    <row r="110" spans="1:8" x14ac:dyDescent="0.25">
      <c r="E110" s="26" t="s">
        <v>157</v>
      </c>
      <c r="F110" s="26" t="s">
        <v>379</v>
      </c>
      <c r="G110" s="27"/>
      <c r="H110" s="27"/>
    </row>
    <row r="111" spans="1:8" x14ac:dyDescent="0.25">
      <c r="E111" s="26" t="s">
        <v>158</v>
      </c>
      <c r="F111" s="26" t="s">
        <v>380</v>
      </c>
      <c r="G111" s="27"/>
      <c r="H111" s="27"/>
    </row>
    <row r="112" spans="1:8" x14ac:dyDescent="0.25">
      <c r="E112" s="26" t="s">
        <v>159</v>
      </c>
      <c r="F112" s="26" t="s">
        <v>159</v>
      </c>
      <c r="G112" s="27"/>
      <c r="H112" s="27"/>
    </row>
    <row r="113" spans="5:8" x14ac:dyDescent="0.25">
      <c r="E113" s="26" t="s">
        <v>160</v>
      </c>
      <c r="F113" s="26" t="s">
        <v>381</v>
      </c>
      <c r="G113" s="27"/>
      <c r="H113" s="27"/>
    </row>
    <row r="114" spans="5:8" x14ac:dyDescent="0.25">
      <c r="E114" s="26" t="s">
        <v>161</v>
      </c>
      <c r="F114" s="26" t="s">
        <v>382</v>
      </c>
      <c r="G114" s="27"/>
      <c r="H114" s="27"/>
    </row>
    <row r="115" spans="5:8" x14ac:dyDescent="0.25">
      <c r="E115" s="26" t="s">
        <v>162</v>
      </c>
      <c r="F115" s="26"/>
      <c r="G115" s="27"/>
      <c r="H115" s="27"/>
    </row>
    <row r="116" spans="5:8" x14ac:dyDescent="0.25">
      <c r="E116" s="26" t="s">
        <v>163</v>
      </c>
      <c r="F116" s="26" t="s">
        <v>383</v>
      </c>
      <c r="G116" s="27"/>
      <c r="H116" s="27"/>
    </row>
    <row r="117" spans="5:8" x14ac:dyDescent="0.25">
      <c r="E117" s="26" t="s">
        <v>164</v>
      </c>
      <c r="F117" s="26" t="s">
        <v>384</v>
      </c>
      <c r="G117" s="27"/>
      <c r="H117" s="27"/>
    </row>
    <row r="118" spans="5:8" x14ac:dyDescent="0.25">
      <c r="E118" s="26" t="s">
        <v>165</v>
      </c>
      <c r="F118" s="26" t="s">
        <v>385</v>
      </c>
      <c r="G118" s="27"/>
      <c r="H118" s="27"/>
    </row>
    <row r="119" spans="5:8" x14ac:dyDescent="0.25">
      <c r="E119" s="26" t="s">
        <v>166</v>
      </c>
      <c r="F119" s="26" t="s">
        <v>386</v>
      </c>
      <c r="G119" s="27"/>
      <c r="H119" s="27"/>
    </row>
    <row r="120" spans="5:8" x14ac:dyDescent="0.25">
      <c r="E120" s="26" t="s">
        <v>167</v>
      </c>
      <c r="F120" s="26" t="s">
        <v>167</v>
      </c>
      <c r="G120" s="27"/>
      <c r="H120" s="27"/>
    </row>
    <row r="121" spans="5:8" x14ac:dyDescent="0.25">
      <c r="E121" s="26" t="s">
        <v>168</v>
      </c>
      <c r="F121" s="26" t="s">
        <v>387</v>
      </c>
      <c r="G121" s="27"/>
      <c r="H121" s="27"/>
    </row>
    <row r="122" spans="5:8" x14ac:dyDescent="0.25">
      <c r="E122" s="26" t="s">
        <v>169</v>
      </c>
      <c r="F122" s="26" t="s">
        <v>388</v>
      </c>
      <c r="G122" s="27"/>
      <c r="H122" s="27"/>
    </row>
    <row r="123" spans="5:8" x14ac:dyDescent="0.25">
      <c r="E123" s="26" t="s">
        <v>170</v>
      </c>
      <c r="F123" s="26" t="s">
        <v>389</v>
      </c>
      <c r="G123" s="27"/>
      <c r="H123" s="27"/>
    </row>
    <row r="124" spans="5:8" x14ac:dyDescent="0.25">
      <c r="E124" s="26" t="s">
        <v>171</v>
      </c>
      <c r="F124" s="26" t="s">
        <v>171</v>
      </c>
      <c r="G124" s="27"/>
      <c r="H124" s="27"/>
    </row>
    <row r="125" spans="5:8" x14ac:dyDescent="0.25">
      <c r="E125" s="26" t="s">
        <v>172</v>
      </c>
      <c r="F125" s="26" t="s">
        <v>390</v>
      </c>
      <c r="G125" s="27"/>
      <c r="H125" s="27"/>
    </row>
    <row r="126" spans="5:8" x14ac:dyDescent="0.25">
      <c r="E126" s="26" t="s">
        <v>173</v>
      </c>
      <c r="F126" s="26" t="s">
        <v>391</v>
      </c>
      <c r="G126" s="27"/>
      <c r="H126" s="27"/>
    </row>
    <row r="127" spans="5:8" x14ac:dyDescent="0.25">
      <c r="E127" s="26" t="s">
        <v>174</v>
      </c>
      <c r="F127" s="26" t="s">
        <v>392</v>
      </c>
      <c r="G127" s="27"/>
      <c r="H127" s="27"/>
    </row>
    <row r="128" spans="5:8" x14ac:dyDescent="0.25">
      <c r="E128" s="26" t="s">
        <v>175</v>
      </c>
      <c r="F128" s="26" t="s">
        <v>175</v>
      </c>
      <c r="G128" s="27"/>
      <c r="H128" s="27"/>
    </row>
    <row r="129" spans="5:8" x14ac:dyDescent="0.25">
      <c r="E129" s="26" t="s">
        <v>176</v>
      </c>
      <c r="F129" s="26" t="s">
        <v>393</v>
      </c>
      <c r="G129" s="27"/>
      <c r="H129" s="27"/>
    </row>
    <row r="130" spans="5:8" x14ac:dyDescent="0.25">
      <c r="E130" s="26" t="s">
        <v>177</v>
      </c>
      <c r="F130" s="26" t="s">
        <v>394</v>
      </c>
      <c r="G130" s="27"/>
      <c r="H130" s="27"/>
    </row>
    <row r="131" spans="5:8" x14ac:dyDescent="0.25">
      <c r="E131" s="26" t="s">
        <v>178</v>
      </c>
      <c r="F131" s="26" t="s">
        <v>395</v>
      </c>
      <c r="G131" s="27"/>
      <c r="H131" s="27"/>
    </row>
    <row r="132" spans="5:8" x14ac:dyDescent="0.25">
      <c r="E132" s="26" t="s">
        <v>179</v>
      </c>
      <c r="F132" s="26" t="s">
        <v>396</v>
      </c>
      <c r="G132" s="27"/>
      <c r="H132" s="27"/>
    </row>
    <row r="133" spans="5:8" x14ac:dyDescent="0.25">
      <c r="E133" s="26" t="s">
        <v>180</v>
      </c>
      <c r="F133" s="26" t="s">
        <v>397</v>
      </c>
      <c r="G133" s="27"/>
      <c r="H133" s="27"/>
    </row>
    <row r="134" spans="5:8" x14ac:dyDescent="0.25">
      <c r="E134" s="26" t="s">
        <v>181</v>
      </c>
      <c r="F134" s="26" t="s">
        <v>398</v>
      </c>
      <c r="G134" s="27"/>
      <c r="H134" s="27"/>
    </row>
    <row r="135" spans="5:8" x14ac:dyDescent="0.25">
      <c r="E135" s="26" t="s">
        <v>182</v>
      </c>
      <c r="F135" s="26" t="s">
        <v>399</v>
      </c>
      <c r="G135" s="27"/>
      <c r="H135" s="27"/>
    </row>
    <row r="136" spans="5:8" x14ac:dyDescent="0.25">
      <c r="E136" s="26" t="s">
        <v>183</v>
      </c>
      <c r="F136" s="26" t="s">
        <v>400</v>
      </c>
      <c r="G136" s="27"/>
      <c r="H136" s="27"/>
    </row>
    <row r="137" spans="5:8" x14ac:dyDescent="0.25">
      <c r="E137" s="26" t="s">
        <v>184</v>
      </c>
      <c r="F137" s="26" t="s">
        <v>401</v>
      </c>
      <c r="G137" s="27"/>
      <c r="H137" s="27"/>
    </row>
    <row r="138" spans="5:8" x14ac:dyDescent="0.25">
      <c r="E138" s="26" t="s">
        <v>185</v>
      </c>
      <c r="F138" s="26" t="s">
        <v>402</v>
      </c>
      <c r="G138" s="27"/>
      <c r="H138" s="27"/>
    </row>
    <row r="139" spans="5:8" x14ac:dyDescent="0.25">
      <c r="E139" s="26" t="s">
        <v>186</v>
      </c>
      <c r="F139" s="26" t="s">
        <v>403</v>
      </c>
      <c r="G139" s="27"/>
      <c r="H139" s="27"/>
    </row>
    <row r="140" spans="5:8" x14ac:dyDescent="0.25">
      <c r="E140" s="26" t="s">
        <v>187</v>
      </c>
      <c r="F140" s="26" t="s">
        <v>404</v>
      </c>
      <c r="G140" s="27"/>
      <c r="H140" s="27"/>
    </row>
    <row r="141" spans="5:8" x14ac:dyDescent="0.25">
      <c r="E141" s="26" t="s">
        <v>188</v>
      </c>
      <c r="F141" s="26" t="s">
        <v>405</v>
      </c>
      <c r="G141" s="27"/>
      <c r="H141" s="27"/>
    </row>
    <row r="142" spans="5:8" x14ac:dyDescent="0.25">
      <c r="E142" s="26" t="s">
        <v>189</v>
      </c>
      <c r="F142" s="26" t="s">
        <v>406</v>
      </c>
      <c r="G142" s="27"/>
      <c r="H142" s="27"/>
    </row>
    <row r="143" spans="5:8" x14ac:dyDescent="0.25">
      <c r="E143" s="26" t="s">
        <v>190</v>
      </c>
      <c r="F143" s="26" t="s">
        <v>407</v>
      </c>
      <c r="G143" s="27"/>
      <c r="H143" s="27"/>
    </row>
    <row r="144" spans="5:8" x14ac:dyDescent="0.25">
      <c r="E144" s="26" t="s">
        <v>191</v>
      </c>
      <c r="F144" s="26" t="s">
        <v>408</v>
      </c>
      <c r="G144" s="27"/>
      <c r="H144" s="27"/>
    </row>
    <row r="145" spans="5:8" x14ac:dyDescent="0.25">
      <c r="E145" s="26" t="s">
        <v>192</v>
      </c>
      <c r="F145" s="26" t="s">
        <v>409</v>
      </c>
      <c r="G145" s="27"/>
      <c r="H145" s="27"/>
    </row>
    <row r="146" spans="5:8" x14ac:dyDescent="0.25">
      <c r="E146" s="26" t="s">
        <v>193</v>
      </c>
      <c r="F146" s="26"/>
      <c r="G146" s="27"/>
      <c r="H146" s="27"/>
    </row>
    <row r="147" spans="5:8" x14ac:dyDescent="0.25">
      <c r="E147" s="26" t="s">
        <v>194</v>
      </c>
      <c r="F147" s="26" t="s">
        <v>410</v>
      </c>
      <c r="G147" s="27"/>
      <c r="H147" s="27"/>
    </row>
    <row r="148" spans="5:8" x14ac:dyDescent="0.25">
      <c r="E148" s="26" t="s">
        <v>195</v>
      </c>
      <c r="F148" s="26"/>
      <c r="G148" s="27"/>
      <c r="H148" s="27"/>
    </row>
    <row r="149" spans="5:8" x14ac:dyDescent="0.25">
      <c r="E149" s="26" t="s">
        <v>196</v>
      </c>
      <c r="F149" s="26" t="s">
        <v>411</v>
      </c>
      <c r="G149" s="27"/>
      <c r="H149" s="27"/>
    </row>
    <row r="150" spans="5:8" x14ac:dyDescent="0.25">
      <c r="E150" s="26" t="s">
        <v>197</v>
      </c>
      <c r="F150" s="26" t="s">
        <v>412</v>
      </c>
      <c r="G150" s="27"/>
      <c r="H150" s="27"/>
    </row>
    <row r="151" spans="5:8" x14ac:dyDescent="0.25">
      <c r="E151" s="26" t="s">
        <v>198</v>
      </c>
      <c r="F151" s="26" t="s">
        <v>413</v>
      </c>
      <c r="G151" s="27"/>
      <c r="H151" s="27"/>
    </row>
    <row r="152" spans="5:8" x14ac:dyDescent="0.25">
      <c r="E152" s="26" t="s">
        <v>199</v>
      </c>
      <c r="F152" s="26"/>
      <c r="G152" s="27"/>
      <c r="H152" s="27"/>
    </row>
    <row r="153" spans="5:8" x14ac:dyDescent="0.25">
      <c r="E153" s="26" t="s">
        <v>200</v>
      </c>
      <c r="F153" s="26"/>
      <c r="G153" s="27"/>
      <c r="H153" s="27"/>
    </row>
    <row r="154" spans="5:8" x14ac:dyDescent="0.25">
      <c r="E154" s="26" t="s">
        <v>201</v>
      </c>
      <c r="F154" s="26" t="s">
        <v>414</v>
      </c>
      <c r="G154" s="27"/>
      <c r="H154" s="27"/>
    </row>
    <row r="155" spans="5:8" x14ac:dyDescent="0.25">
      <c r="E155" s="26" t="s">
        <v>202</v>
      </c>
      <c r="F155" s="26" t="s">
        <v>415</v>
      </c>
      <c r="G155" s="27"/>
      <c r="H155" s="27"/>
    </row>
    <row r="156" spans="5:8" x14ac:dyDescent="0.25">
      <c r="E156" s="26" t="s">
        <v>203</v>
      </c>
      <c r="F156" s="26" t="s">
        <v>203</v>
      </c>
      <c r="G156" s="27"/>
      <c r="H156" s="27"/>
    </row>
    <row r="157" spans="5:8" x14ac:dyDescent="0.25">
      <c r="E157" s="26" t="s">
        <v>204</v>
      </c>
      <c r="F157" s="26" t="s">
        <v>416</v>
      </c>
      <c r="G157" s="27"/>
      <c r="H157" s="27"/>
    </row>
    <row r="158" spans="5:8" x14ac:dyDescent="0.25">
      <c r="E158" s="26" t="s">
        <v>205</v>
      </c>
      <c r="F158" s="26" t="s">
        <v>417</v>
      </c>
      <c r="G158" s="27"/>
      <c r="H158" s="27"/>
    </row>
    <row r="159" spans="5:8" x14ac:dyDescent="0.25">
      <c r="E159" s="26" t="s">
        <v>206</v>
      </c>
      <c r="F159" s="26" t="s">
        <v>418</v>
      </c>
      <c r="G159" s="27"/>
      <c r="H159" s="27"/>
    </row>
    <row r="160" spans="5:8" x14ac:dyDescent="0.25">
      <c r="E160" s="26" t="s">
        <v>207</v>
      </c>
      <c r="F160" s="26" t="s">
        <v>207</v>
      </c>
      <c r="G160" s="27"/>
      <c r="H160" s="27"/>
    </row>
    <row r="161" spans="5:8" x14ac:dyDescent="0.25">
      <c r="E161" s="26" t="s">
        <v>208</v>
      </c>
      <c r="F161" s="26" t="s">
        <v>208</v>
      </c>
      <c r="G161" s="27"/>
      <c r="H161" s="27"/>
    </row>
    <row r="162" spans="5:8" x14ac:dyDescent="0.25">
      <c r="E162" s="26" t="s">
        <v>209</v>
      </c>
      <c r="F162" s="26" t="s">
        <v>209</v>
      </c>
      <c r="G162" s="27"/>
      <c r="H162" s="27"/>
    </row>
    <row r="163" spans="5:8" x14ac:dyDescent="0.25">
      <c r="E163" s="26" t="s">
        <v>210</v>
      </c>
      <c r="F163" s="26" t="s">
        <v>419</v>
      </c>
      <c r="G163" s="27"/>
      <c r="H163" s="27"/>
    </row>
    <row r="164" spans="5:8" x14ac:dyDescent="0.25">
      <c r="E164" s="26" t="s">
        <v>211</v>
      </c>
      <c r="F164" s="26" t="s">
        <v>420</v>
      </c>
      <c r="G164" s="27"/>
      <c r="H164" s="27"/>
    </row>
    <row r="165" spans="5:8" x14ac:dyDescent="0.25">
      <c r="E165" s="26" t="s">
        <v>212</v>
      </c>
      <c r="F165" s="26" t="s">
        <v>212</v>
      </c>
      <c r="G165" s="27"/>
      <c r="H165" s="27"/>
    </row>
    <row r="166" spans="5:8" x14ac:dyDescent="0.25">
      <c r="E166" s="26" t="s">
        <v>213</v>
      </c>
      <c r="F166" s="26" t="s">
        <v>421</v>
      </c>
      <c r="G166" s="27"/>
      <c r="H166" s="27"/>
    </row>
    <row r="167" spans="5:8" x14ac:dyDescent="0.25">
      <c r="E167" s="26" t="s">
        <v>214</v>
      </c>
      <c r="F167" s="26" t="s">
        <v>422</v>
      </c>
      <c r="G167" s="27"/>
      <c r="H167" s="27"/>
    </row>
    <row r="168" spans="5:8" x14ac:dyDescent="0.25">
      <c r="E168" s="26" t="s">
        <v>215</v>
      </c>
      <c r="F168" s="26"/>
      <c r="G168" s="27"/>
      <c r="H168" s="27"/>
    </row>
    <row r="169" spans="5:8" x14ac:dyDescent="0.25">
      <c r="E169" s="26" t="s">
        <v>216</v>
      </c>
      <c r="F169" s="26" t="s">
        <v>423</v>
      </c>
      <c r="G169" s="27"/>
      <c r="H169" s="27"/>
    </row>
    <row r="170" spans="5:8" x14ac:dyDescent="0.25">
      <c r="E170" s="26" t="s">
        <v>217</v>
      </c>
      <c r="F170" s="26" t="s">
        <v>424</v>
      </c>
      <c r="G170" s="27"/>
      <c r="H170" s="27"/>
    </row>
    <row r="171" spans="5:8" ht="25.5" x14ac:dyDescent="0.25">
      <c r="E171" s="26" t="s">
        <v>218</v>
      </c>
      <c r="F171" s="26" t="s">
        <v>218</v>
      </c>
      <c r="G171" s="27"/>
      <c r="H171" s="27"/>
    </row>
    <row r="172" spans="5:8" x14ac:dyDescent="0.25">
      <c r="E172" s="26" t="s">
        <v>219</v>
      </c>
      <c r="F172" s="26" t="s">
        <v>425</v>
      </c>
      <c r="G172" s="27"/>
      <c r="H172" s="27"/>
    </row>
    <row r="173" spans="5:8" x14ac:dyDescent="0.25">
      <c r="E173" s="26" t="s">
        <v>220</v>
      </c>
      <c r="F173" s="26" t="s">
        <v>426</v>
      </c>
      <c r="G173" s="27"/>
      <c r="H173" s="27"/>
    </row>
    <row r="174" spans="5:8" x14ac:dyDescent="0.25">
      <c r="E174" s="26" t="s">
        <v>221</v>
      </c>
      <c r="F174" s="26" t="s">
        <v>427</v>
      </c>
      <c r="G174" s="27"/>
      <c r="H174" s="27"/>
    </row>
    <row r="175" spans="5:8" x14ac:dyDescent="0.25">
      <c r="E175" s="26" t="s">
        <v>222</v>
      </c>
      <c r="F175" s="26" t="s">
        <v>428</v>
      </c>
      <c r="G175" s="27"/>
      <c r="H175" s="27"/>
    </row>
    <row r="176" spans="5:8" x14ac:dyDescent="0.25">
      <c r="E176" s="26" t="s">
        <v>223</v>
      </c>
      <c r="F176" s="26"/>
      <c r="G176" s="27"/>
      <c r="H176" s="27"/>
    </row>
    <row r="177" spans="5:8" x14ac:dyDescent="0.25">
      <c r="E177" s="26" t="s">
        <v>224</v>
      </c>
      <c r="F177" s="26" t="s">
        <v>429</v>
      </c>
      <c r="G177" s="27"/>
      <c r="H177" s="27"/>
    </row>
    <row r="178" spans="5:8" x14ac:dyDescent="0.25">
      <c r="E178" s="26" t="s">
        <v>225</v>
      </c>
      <c r="F178" s="26" t="s">
        <v>430</v>
      </c>
      <c r="G178" s="27"/>
      <c r="H178" s="27"/>
    </row>
    <row r="179" spans="5:8" x14ac:dyDescent="0.25">
      <c r="E179" s="26" t="s">
        <v>226</v>
      </c>
      <c r="F179" s="26" t="s">
        <v>431</v>
      </c>
      <c r="G179" s="27"/>
      <c r="H179" s="27"/>
    </row>
    <row r="180" spans="5:8" x14ac:dyDescent="0.25">
      <c r="E180" s="26" t="s">
        <v>227</v>
      </c>
      <c r="F180" s="26" t="s">
        <v>432</v>
      </c>
      <c r="G180" s="27"/>
      <c r="H180" s="27"/>
    </row>
    <row r="181" spans="5:8" x14ac:dyDescent="0.25">
      <c r="E181" s="26" t="s">
        <v>228</v>
      </c>
      <c r="F181" s="26" t="s">
        <v>433</v>
      </c>
      <c r="G181" s="27"/>
      <c r="H181" s="27"/>
    </row>
    <row r="182" spans="5:8" x14ac:dyDescent="0.25">
      <c r="E182" s="26" t="s">
        <v>229</v>
      </c>
      <c r="F182" s="26" t="s">
        <v>434</v>
      </c>
      <c r="G182" s="27"/>
      <c r="H182" s="27"/>
    </row>
    <row r="183" spans="5:8" x14ac:dyDescent="0.25">
      <c r="E183" s="26" t="s">
        <v>230</v>
      </c>
      <c r="F183" s="26" t="s">
        <v>435</v>
      </c>
      <c r="G183" s="27"/>
      <c r="H183" s="27"/>
    </row>
    <row r="184" spans="5:8" x14ac:dyDescent="0.25">
      <c r="E184" s="26" t="s">
        <v>231</v>
      </c>
      <c r="F184" s="26" t="s">
        <v>436</v>
      </c>
      <c r="G184" s="27"/>
      <c r="H184" s="27"/>
    </row>
    <row r="185" spans="5:8" x14ac:dyDescent="0.25">
      <c r="E185" s="26" t="s">
        <v>232</v>
      </c>
      <c r="F185" s="26" t="s">
        <v>437</v>
      </c>
      <c r="G185" s="27"/>
      <c r="H185" s="27"/>
    </row>
    <row r="186" spans="5:8" x14ac:dyDescent="0.25">
      <c r="E186" s="26" t="s">
        <v>233</v>
      </c>
      <c r="F186" s="26" t="s">
        <v>438</v>
      </c>
      <c r="G186" s="27"/>
      <c r="H186" s="27"/>
    </row>
    <row r="187" spans="5:8" x14ac:dyDescent="0.25">
      <c r="E187" s="26" t="s">
        <v>234</v>
      </c>
      <c r="F187" s="26" t="s">
        <v>439</v>
      </c>
      <c r="G187" s="27"/>
      <c r="H187" s="27"/>
    </row>
    <row r="188" spans="5:8" x14ac:dyDescent="0.25">
      <c r="E188" s="26" t="s">
        <v>235</v>
      </c>
      <c r="F188" s="26" t="s">
        <v>440</v>
      </c>
      <c r="G188" s="27"/>
      <c r="H188" s="27"/>
    </row>
    <row r="189" spans="5:8" x14ac:dyDescent="0.25">
      <c r="E189" s="26" t="s">
        <v>236</v>
      </c>
      <c r="F189" s="26" t="s">
        <v>441</v>
      </c>
      <c r="G189" s="27"/>
      <c r="H189" s="27"/>
    </row>
    <row r="190" spans="5:8" x14ac:dyDescent="0.25">
      <c r="E190" s="26" t="s">
        <v>237</v>
      </c>
      <c r="F190" s="26"/>
      <c r="G190" s="27"/>
      <c r="H190" s="27"/>
    </row>
    <row r="191" spans="5:8" x14ac:dyDescent="0.25">
      <c r="E191" s="26" t="s">
        <v>238</v>
      </c>
      <c r="F191" s="26"/>
      <c r="G191" s="27"/>
      <c r="H191" s="27"/>
    </row>
    <row r="192" spans="5:8" x14ac:dyDescent="0.25">
      <c r="E192" s="26" t="s">
        <v>239</v>
      </c>
      <c r="F192" s="26" t="s">
        <v>442</v>
      </c>
      <c r="G192" s="27"/>
      <c r="H192" s="27"/>
    </row>
    <row r="193" spans="5:8" x14ac:dyDescent="0.25">
      <c r="E193" s="26" t="s">
        <v>240</v>
      </c>
      <c r="F193" s="26" t="s">
        <v>443</v>
      </c>
      <c r="G193" s="27"/>
      <c r="H193" s="27"/>
    </row>
    <row r="194" spans="5:8" x14ac:dyDescent="0.25">
      <c r="E194" s="26" t="s">
        <v>241</v>
      </c>
      <c r="F194" s="26" t="s">
        <v>444</v>
      </c>
      <c r="G194" s="27"/>
      <c r="H194" s="27"/>
    </row>
    <row r="195" spans="5:8" x14ac:dyDescent="0.25">
      <c r="E195" s="26" t="s">
        <v>242</v>
      </c>
      <c r="F195" s="26" t="s">
        <v>445</v>
      </c>
      <c r="G195" s="27"/>
      <c r="H195" s="27"/>
    </row>
    <row r="196" spans="5:8" x14ac:dyDescent="0.25">
      <c r="E196" s="26" t="s">
        <v>243</v>
      </c>
      <c r="F196" s="26" t="s">
        <v>446</v>
      </c>
      <c r="G196" s="27"/>
      <c r="H196" s="27"/>
    </row>
    <row r="197" spans="5:8" x14ac:dyDescent="0.25">
      <c r="E197" s="26" t="s">
        <v>244</v>
      </c>
      <c r="F197" s="26" t="s">
        <v>244</v>
      </c>
      <c r="G197" s="27"/>
      <c r="H197" s="27"/>
    </row>
    <row r="198" spans="5:8" x14ac:dyDescent="0.25">
      <c r="E198" s="26" t="s">
        <v>245</v>
      </c>
      <c r="F198" s="26" t="s">
        <v>447</v>
      </c>
      <c r="G198" s="27"/>
      <c r="H198" s="27"/>
    </row>
    <row r="199" spans="5:8" x14ac:dyDescent="0.25">
      <c r="E199" s="26" t="s">
        <v>246</v>
      </c>
      <c r="F199" s="26" t="s">
        <v>448</v>
      </c>
      <c r="G199" s="27"/>
      <c r="H199" s="27"/>
    </row>
    <row r="200" spans="5:8" x14ac:dyDescent="0.25">
      <c r="E200" s="26" t="s">
        <v>247</v>
      </c>
      <c r="F200" s="26" t="s">
        <v>449</v>
      </c>
      <c r="G200" s="27"/>
      <c r="H200" s="27"/>
    </row>
    <row r="201" spans="5:8" x14ac:dyDescent="0.25">
      <c r="E201" s="26" t="s">
        <v>248</v>
      </c>
      <c r="F201" s="26" t="s">
        <v>450</v>
      </c>
      <c r="G201" s="27"/>
      <c r="H201" s="27"/>
    </row>
    <row r="202" spans="5:8" x14ac:dyDescent="0.25">
      <c r="E202" s="26" t="s">
        <v>249</v>
      </c>
      <c r="F202" s="26" t="s">
        <v>451</v>
      </c>
      <c r="G202" s="27"/>
      <c r="H202" s="27"/>
    </row>
    <row r="203" spans="5:8" x14ac:dyDescent="0.25">
      <c r="E203" s="26" t="s">
        <v>250</v>
      </c>
      <c r="F203" s="26" t="s">
        <v>452</v>
      </c>
      <c r="G203" s="27"/>
      <c r="H203" s="27"/>
    </row>
    <row r="204" spans="5:8" x14ac:dyDescent="0.25">
      <c r="E204" s="26" t="s">
        <v>251</v>
      </c>
      <c r="F204" s="26" t="s">
        <v>453</v>
      </c>
      <c r="G204" s="27"/>
      <c r="H204" s="27"/>
    </row>
    <row r="205" spans="5:8" x14ac:dyDescent="0.25">
      <c r="E205" s="26" t="s">
        <v>252</v>
      </c>
      <c r="F205" s="26" t="s">
        <v>454</v>
      </c>
      <c r="G205" s="27"/>
      <c r="H205" s="27"/>
    </row>
    <row r="206" spans="5:8" x14ac:dyDescent="0.25">
      <c r="E206" s="26" t="s">
        <v>253</v>
      </c>
      <c r="F206" s="26"/>
      <c r="G206" s="27"/>
      <c r="H206" s="27"/>
    </row>
    <row r="207" spans="5:8" x14ac:dyDescent="0.25">
      <c r="E207" s="26" t="s">
        <v>254</v>
      </c>
      <c r="F207" s="26" t="s">
        <v>455</v>
      </c>
      <c r="G207" s="27"/>
      <c r="H207" s="27"/>
    </row>
    <row r="208" spans="5:8" x14ac:dyDescent="0.25">
      <c r="E208" s="26" t="s">
        <v>255</v>
      </c>
      <c r="F208" s="26" t="s">
        <v>255</v>
      </c>
      <c r="G208" s="27"/>
      <c r="H208" s="27"/>
    </row>
    <row r="209" spans="5:8" x14ac:dyDescent="0.25">
      <c r="E209" s="26" t="s">
        <v>256</v>
      </c>
      <c r="F209" s="26"/>
      <c r="G209" s="27"/>
      <c r="H209" s="27"/>
    </row>
    <row r="210" spans="5:8" x14ac:dyDescent="0.25">
      <c r="E210" s="26" t="s">
        <v>257</v>
      </c>
      <c r="F210" s="26" t="s">
        <v>456</v>
      </c>
      <c r="G210" s="27"/>
      <c r="H210" s="27"/>
    </row>
    <row r="211" spans="5:8" x14ac:dyDescent="0.25">
      <c r="E211" s="26" t="s">
        <v>258</v>
      </c>
      <c r="F211" s="26" t="s">
        <v>457</v>
      </c>
      <c r="G211" s="27"/>
      <c r="H211" s="27"/>
    </row>
    <row r="212" spans="5:8" x14ac:dyDescent="0.25">
      <c r="E212" s="26" t="s">
        <v>259</v>
      </c>
      <c r="F212" s="26" t="s">
        <v>458</v>
      </c>
      <c r="G212" s="27"/>
      <c r="H212" s="27"/>
    </row>
    <row r="213" spans="5:8" x14ac:dyDescent="0.25">
      <c r="E213" s="26" t="s">
        <v>260</v>
      </c>
      <c r="F213" s="26" t="s">
        <v>459</v>
      </c>
      <c r="G213" s="27"/>
      <c r="H213" s="27"/>
    </row>
    <row r="214" spans="5:8" x14ac:dyDescent="0.25">
      <c r="E214" s="26" t="s">
        <v>261</v>
      </c>
      <c r="F214" s="26" t="s">
        <v>460</v>
      </c>
      <c r="G214" s="27"/>
      <c r="H214" s="27"/>
    </row>
    <row r="215" spans="5:8" x14ac:dyDescent="0.25">
      <c r="E215" s="26" t="s">
        <v>262</v>
      </c>
      <c r="F215" s="26" t="s">
        <v>461</v>
      </c>
      <c r="G215" s="27"/>
      <c r="H215" s="27"/>
    </row>
    <row r="216" spans="5:8" x14ac:dyDescent="0.25">
      <c r="E216" s="26" t="s">
        <v>263</v>
      </c>
      <c r="F216" s="26" t="s">
        <v>462</v>
      </c>
      <c r="G216" s="27"/>
      <c r="H216" s="27"/>
    </row>
    <row r="217" spans="5:8" x14ac:dyDescent="0.25">
      <c r="E217" s="26" t="s">
        <v>264</v>
      </c>
      <c r="F217" s="26"/>
      <c r="G217" s="27"/>
      <c r="H217" s="27"/>
    </row>
    <row r="218" spans="5:8" x14ac:dyDescent="0.25">
      <c r="E218" s="26" t="s">
        <v>265</v>
      </c>
      <c r="F218" s="26" t="s">
        <v>463</v>
      </c>
      <c r="G218" s="27"/>
      <c r="H218" s="27"/>
    </row>
    <row r="219" spans="5:8" x14ac:dyDescent="0.25">
      <c r="E219" s="26" t="s">
        <v>266</v>
      </c>
      <c r="F219" s="26" t="s">
        <v>464</v>
      </c>
      <c r="G219" s="27"/>
      <c r="H219" s="27"/>
    </row>
    <row r="220" spans="5:8" x14ac:dyDescent="0.25">
      <c r="E220" s="26" t="s">
        <v>267</v>
      </c>
      <c r="F220" s="26" t="s">
        <v>465</v>
      </c>
      <c r="G220" s="27"/>
      <c r="H220" s="27"/>
    </row>
    <row r="221" spans="5:8" x14ac:dyDescent="0.25">
      <c r="E221" s="26" t="s">
        <v>268</v>
      </c>
      <c r="F221" s="26" t="s">
        <v>466</v>
      </c>
      <c r="G221" s="27"/>
      <c r="H221" s="27"/>
    </row>
    <row r="222" spans="5:8" x14ac:dyDescent="0.25">
      <c r="E222" s="26" t="s">
        <v>269</v>
      </c>
      <c r="F222" s="26" t="s">
        <v>467</v>
      </c>
      <c r="G222" s="27"/>
      <c r="H222" s="27"/>
    </row>
    <row r="223" spans="5:8" x14ac:dyDescent="0.25">
      <c r="E223" s="26" t="s">
        <v>270</v>
      </c>
      <c r="F223" s="26" t="s">
        <v>468</v>
      </c>
      <c r="G223" s="27"/>
      <c r="H223" s="27"/>
    </row>
    <row r="224" spans="5:8" x14ac:dyDescent="0.25">
      <c r="E224" s="26" t="s">
        <v>271</v>
      </c>
      <c r="F224" s="26" t="s">
        <v>469</v>
      </c>
      <c r="G224" s="27"/>
      <c r="H224" s="27"/>
    </row>
    <row r="225" spans="5:8" x14ac:dyDescent="0.25">
      <c r="E225" s="26" t="s">
        <v>272</v>
      </c>
      <c r="F225" s="26" t="s">
        <v>470</v>
      </c>
      <c r="G225" s="27"/>
      <c r="H225" s="27"/>
    </row>
    <row r="226" spans="5:8" x14ac:dyDescent="0.25">
      <c r="E226" s="26" t="s">
        <v>273</v>
      </c>
      <c r="F226" s="26" t="s">
        <v>471</v>
      </c>
      <c r="G226" s="27"/>
      <c r="H226" s="27"/>
    </row>
    <row r="227" spans="5:8" x14ac:dyDescent="0.25">
      <c r="E227" s="26" t="s">
        <v>274</v>
      </c>
      <c r="F227" s="26" t="s">
        <v>472</v>
      </c>
      <c r="G227" s="27"/>
      <c r="H227" s="27"/>
    </row>
    <row r="228" spans="5:8" x14ac:dyDescent="0.25">
      <c r="E228" s="26" t="s">
        <v>275</v>
      </c>
      <c r="F228" s="26" t="s">
        <v>473</v>
      </c>
      <c r="G228" s="27"/>
      <c r="H228" s="27"/>
    </row>
    <row r="229" spans="5:8" x14ac:dyDescent="0.25">
      <c r="E229" s="26" t="s">
        <v>276</v>
      </c>
      <c r="F229" s="26"/>
      <c r="G229" s="27"/>
      <c r="H229" s="27"/>
    </row>
    <row r="230" spans="5:8" x14ac:dyDescent="0.25">
      <c r="E230" s="26" t="s">
        <v>277</v>
      </c>
      <c r="F230" s="26" t="s">
        <v>277</v>
      </c>
      <c r="G230" s="27"/>
      <c r="H230" s="27"/>
    </row>
    <row r="231" spans="5:8" x14ac:dyDescent="0.25">
      <c r="E231" s="26" t="s">
        <v>278</v>
      </c>
      <c r="F231" s="26" t="s">
        <v>474</v>
      </c>
      <c r="G231" s="27"/>
      <c r="H231" s="27"/>
    </row>
    <row r="232" spans="5:8" x14ac:dyDescent="0.25">
      <c r="E232" s="26" t="s">
        <v>279</v>
      </c>
      <c r="F232" s="26" t="s">
        <v>475</v>
      </c>
      <c r="G232" s="27"/>
      <c r="H232" s="27"/>
    </row>
    <row r="233" spans="5:8" x14ac:dyDescent="0.25">
      <c r="E233" s="26" t="s">
        <v>280</v>
      </c>
      <c r="F233" s="26" t="s">
        <v>280</v>
      </c>
      <c r="G233" s="27"/>
      <c r="H233" s="27"/>
    </row>
    <row r="234" spans="5:8" x14ac:dyDescent="0.25">
      <c r="E234" s="26" t="s">
        <v>281</v>
      </c>
      <c r="F234" s="26" t="s">
        <v>476</v>
      </c>
      <c r="G234" s="27"/>
      <c r="H234" s="27"/>
    </row>
    <row r="235" spans="5:8" x14ac:dyDescent="0.25">
      <c r="E235" s="26" t="s">
        <v>282</v>
      </c>
      <c r="F235" s="26" t="s">
        <v>477</v>
      </c>
      <c r="G235" s="27"/>
      <c r="H235" s="27"/>
    </row>
    <row r="236" spans="5:8" x14ac:dyDescent="0.25">
      <c r="E236" s="26" t="s">
        <v>283</v>
      </c>
      <c r="F236" s="26" t="s">
        <v>283</v>
      </c>
      <c r="G236" s="27"/>
      <c r="H236" s="27"/>
    </row>
    <row r="237" spans="5:8" x14ac:dyDescent="0.25">
      <c r="E237" s="26" t="s">
        <v>284</v>
      </c>
      <c r="F237" s="26" t="s">
        <v>478</v>
      </c>
      <c r="G237" s="27"/>
      <c r="H237" s="27"/>
    </row>
    <row r="238" spans="5:8" x14ac:dyDescent="0.25">
      <c r="E238" s="26" t="s">
        <v>285</v>
      </c>
      <c r="F238" s="26"/>
      <c r="G238" s="27"/>
      <c r="H238" s="27"/>
    </row>
    <row r="239" spans="5:8" x14ac:dyDescent="0.25">
      <c r="E239" s="26" t="s">
        <v>286</v>
      </c>
      <c r="F239" s="26" t="s">
        <v>286</v>
      </c>
      <c r="G239" s="27"/>
      <c r="H239" s="27"/>
    </row>
    <row r="240" spans="5:8" x14ac:dyDescent="0.25">
      <c r="E240" s="26" t="s">
        <v>287</v>
      </c>
      <c r="F240" s="26" t="s">
        <v>479</v>
      </c>
      <c r="G240" s="27"/>
      <c r="H240" s="27"/>
    </row>
    <row r="241" spans="5:8" x14ac:dyDescent="0.25">
      <c r="E241" s="26" t="s">
        <v>288</v>
      </c>
      <c r="F241" s="26"/>
      <c r="G241" s="27"/>
      <c r="H241" s="27"/>
    </row>
    <row r="242" spans="5:8" x14ac:dyDescent="0.25">
      <c r="E242" s="26" t="s">
        <v>289</v>
      </c>
      <c r="F242" s="26" t="s">
        <v>480</v>
      </c>
      <c r="G242" s="27"/>
      <c r="H242" s="27"/>
    </row>
    <row r="243" spans="5:8" x14ac:dyDescent="0.25">
      <c r="E243" s="26" t="s">
        <v>290</v>
      </c>
      <c r="F243" s="26" t="s">
        <v>481</v>
      </c>
      <c r="G243" s="27"/>
      <c r="H243" s="27"/>
    </row>
    <row r="244" spans="5:8" x14ac:dyDescent="0.25">
      <c r="E244" s="26" t="s">
        <v>291</v>
      </c>
      <c r="F244" s="26"/>
      <c r="G244" s="27"/>
      <c r="H244" s="27"/>
    </row>
    <row r="245" spans="5:8" x14ac:dyDescent="0.25">
      <c r="E245" s="26" t="s">
        <v>292</v>
      </c>
      <c r="F245" s="26" t="s">
        <v>482</v>
      </c>
      <c r="G245" s="27"/>
      <c r="H245" s="27"/>
    </row>
    <row r="246" spans="5:8" x14ac:dyDescent="0.25">
      <c r="E246" s="26" t="s">
        <v>293</v>
      </c>
      <c r="F246" s="26"/>
      <c r="G246" s="27"/>
      <c r="H246" s="27"/>
    </row>
    <row r="247" spans="5:8" x14ac:dyDescent="0.25">
      <c r="E247" s="26" t="s">
        <v>294</v>
      </c>
      <c r="F247" s="26" t="s">
        <v>483</v>
      </c>
      <c r="G247" s="27"/>
      <c r="H247" s="27"/>
    </row>
    <row r="248" spans="5:8" x14ac:dyDescent="0.25">
      <c r="E248" s="26" t="s">
        <v>295</v>
      </c>
      <c r="F248" s="26" t="s">
        <v>484</v>
      </c>
      <c r="G248" s="27"/>
      <c r="H248" s="27"/>
    </row>
    <row r="249" spans="5:8" x14ac:dyDescent="0.25">
      <c r="E249" s="26" t="s">
        <v>296</v>
      </c>
      <c r="F249" s="26" t="s">
        <v>485</v>
      </c>
      <c r="G249" s="27"/>
      <c r="H249" s="27"/>
    </row>
    <row r="250" spans="5:8" x14ac:dyDescent="0.25">
      <c r="E250" s="26" t="s">
        <v>297</v>
      </c>
      <c r="F250" s="26" t="s">
        <v>486</v>
      </c>
      <c r="G250" s="27"/>
      <c r="H250" s="27"/>
    </row>
    <row r="251" spans="5:8" x14ac:dyDescent="0.25">
      <c r="E251" s="26" t="s">
        <v>298</v>
      </c>
      <c r="F251" s="26" t="s">
        <v>487</v>
      </c>
      <c r="G251" s="27"/>
      <c r="H251" s="27"/>
    </row>
  </sheetData>
  <sheetProtection password="A67F" sheet="1"/>
  <mergeCells count="2">
    <mergeCell ref="A2:C2"/>
    <mergeCell ref="E2:H2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143F45DF55F042AD2312D04C110A2F" ma:contentTypeVersion="18" ma:contentTypeDescription="Create a new document." ma:contentTypeScope="" ma:versionID="c08c00c8936f8a6be9e0a1f63743c2e2">
  <xsd:schema xmlns:xsd="http://www.w3.org/2001/XMLSchema" xmlns:xs="http://www.w3.org/2001/XMLSchema" xmlns:p="http://schemas.microsoft.com/office/2006/metadata/properties" xmlns:ns2="8be6148a-4864-492b-ad6d-92902755aac9" xmlns:ns3="46493e6f-2a5c-49da-a370-193f1dd63407" targetNamespace="http://schemas.microsoft.com/office/2006/metadata/properties" ma:root="true" ma:fieldsID="01a2680cee628e05fb103703dad959f5" ns2:_="" ns3:_="">
    <xsd:import namespace="8be6148a-4864-492b-ad6d-92902755aac9"/>
    <xsd:import namespace="46493e6f-2a5c-49da-a370-193f1dd63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6148a-4864-492b-ad6d-92902755a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155bc23-e9d7-46c6-851f-450106de60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493e6f-2a5c-49da-a370-193f1dd634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740acf9-2a40-4690-8410-c025dbb4d1c5}" ma:internalName="TaxCatchAll" ma:showField="CatchAllData" ma:web="46493e6f-2a5c-49da-a370-193f1dd63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6148a-4864-492b-ad6d-92902755aac9">
      <Terms xmlns="http://schemas.microsoft.com/office/infopath/2007/PartnerControls"/>
    </lcf76f155ced4ddcb4097134ff3c332f>
    <TaxCatchAll xmlns="46493e6f-2a5c-49da-a370-193f1dd63407" xsi:nil="true"/>
  </documentManagement>
</p:properties>
</file>

<file path=customXml/itemProps1.xml><?xml version="1.0" encoding="utf-8"?>
<ds:datastoreItem xmlns:ds="http://schemas.openxmlformats.org/officeDocument/2006/customXml" ds:itemID="{FAF2ADD7-1BFC-48E5-8F99-A9602EE0052F}"/>
</file>

<file path=customXml/itemProps2.xml><?xml version="1.0" encoding="utf-8"?>
<ds:datastoreItem xmlns:ds="http://schemas.openxmlformats.org/officeDocument/2006/customXml" ds:itemID="{52DF4692-40B0-4E26-ABEB-F8BC5506F7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544EA0-53E2-4F67-A254-DF393AD9FDFD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Screening Request</vt:lpstr>
      <vt:lpstr>Instructions</vt:lpstr>
      <vt:lpstr>citizenship</vt:lpstr>
      <vt:lpstr>gender</vt:lpstr>
      <vt:lpstr>place_of_birth</vt:lpstr>
      <vt:lpstr>SPR_FIN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2026-03-31T04:47:33Z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0x010100FA143F45DF55F042AD2312D04C110A2F</vt:lpwstr>
  </property>
  <property fmtid="{D5CDD505-2E9C-101B-9397-08002B2CF9AE}" pid="3" name="TitusGUID">
    <vt:lpwstr>d6a2bd93-45d8-426e-a4f3-1948d3bfaf8c</vt:lpwstr>
  </property>
  <property fmtid="{D5CDD505-2E9C-101B-9397-08002B2CF9AE}" pid="4" name="MSIP_Label_c477f0d0-1a40-415d-b130-8b40a41c8c21_Enabled">
    <vt:lpwstr>true</vt:lpwstr>
  </property>
  <property fmtid="{D5CDD505-2E9C-101B-9397-08002B2CF9AE}" pid="5" name="MSIP_Label_c477f0d0-1a40-415d-b130-8b40a41c8c21_SetDate">
    <vt:lpwstr>2024-12-10T08:01:53Z</vt:lpwstr>
  </property>
  <property fmtid="{D5CDD505-2E9C-101B-9397-08002B2CF9AE}" pid="6" name="MSIP_Label_c477f0d0-1a40-415d-b130-8b40a41c8c21_Method">
    <vt:lpwstr>Privileged</vt:lpwstr>
  </property>
  <property fmtid="{D5CDD505-2E9C-101B-9397-08002B2CF9AE}" pid="7" name="MSIP_Label_c477f0d0-1a40-415d-b130-8b40a41c8c21_Name">
    <vt:lpwstr>Sensitive Normal_3</vt:lpwstr>
  </property>
  <property fmtid="{D5CDD505-2E9C-101B-9397-08002B2CF9AE}" pid="8" name="MSIP_Label_c477f0d0-1a40-415d-b130-8b40a41c8c21_SiteId">
    <vt:lpwstr>0b11c524-9a1c-4e1b-84cb-6336aefc2243</vt:lpwstr>
  </property>
  <property fmtid="{D5CDD505-2E9C-101B-9397-08002B2CF9AE}" pid="9" name="MSIP_Label_c477f0d0-1a40-415d-b130-8b40a41c8c21_ActionId">
    <vt:lpwstr>65e123cc-ffad-47d0-832b-f849ea87674e</vt:lpwstr>
  </property>
  <property fmtid="{D5CDD505-2E9C-101B-9397-08002B2CF9AE}" pid="10" name="MSIP_Label_c477f0d0-1a40-415d-b130-8b40a41c8c21_ContentBits">
    <vt:lpwstr>0</vt:lpwstr>
  </property>
</Properties>
</file>